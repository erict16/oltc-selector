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<sst xmlns="http://schemas.openxmlformats.org/spreadsheetml/2006/main" count="37" uniqueCount="32">
  <si>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 xml:space="preserve">Applicable For Class I tap changer (ie: Y For Netural Point) Only </t>
  </si>
  <si>
    <t>HOW TO CALCULATE THE INNER INSULATION LEVEL</t>
  </si>
  <si>
    <t>Item</t>
  </si>
  <si>
    <t>Transformer capacity</t>
  </si>
  <si>
    <t>MVA</t>
  </si>
  <si>
    <t>Voltage of transformer high voltage winding</t>
  </si>
  <si>
    <t>KV</t>
  </si>
  <si>
    <t>Transformer connection</t>
  </si>
  <si>
    <t>Y</t>
  </si>
  <si>
    <t>Reguating range</t>
  </si>
  <si>
    <t>±22%</t>
  </si>
  <si>
    <t>Basic connections of tap winding</t>
  </si>
  <si>
    <t>With reversing switch</t>
  </si>
  <si>
    <t>Steps</t>
  </si>
  <si>
    <t>±13</t>
  </si>
  <si>
    <t>±12</t>
  </si>
  <si>
    <t>Max operation positions</t>
  </si>
  <si>
    <t>Number of divisions for the tap selector contacts</t>
  </si>
  <si>
    <t>Rated separate source AC
withstand voltage(kV/50Hz,1min) FOR OLTC</t>
  </si>
  <si>
    <t>KV (ie:PF)</t>
  </si>
  <si>
    <t>Rated lightning impulse
withstand voltage (kV,1.2/50μs) FOR OLTC</t>
  </si>
  <si>
    <t>kV (ie:BIL)</t>
  </si>
  <si>
    <r>
      <rPr>
        <sz val="11"/>
        <color theme="1"/>
        <rFont val="等线"/>
        <charset val="134"/>
        <scheme val="minor"/>
      </rPr>
      <t>U</t>
    </r>
    <r>
      <rPr>
        <vertAlign val="subscript"/>
        <sz val="11"/>
        <color theme="1"/>
        <rFont val="等线"/>
        <charset val="134"/>
        <scheme val="minor"/>
      </rPr>
      <t>MAX</t>
    </r>
  </si>
  <si>
    <r>
      <rPr>
        <sz val="11"/>
        <color theme="1"/>
        <rFont val="等线"/>
        <charset val="134"/>
        <scheme val="minor"/>
      </rPr>
      <t>U</t>
    </r>
    <r>
      <rPr>
        <vertAlign val="subscript"/>
        <sz val="11"/>
        <color theme="1"/>
        <rFont val="等线"/>
        <charset val="134"/>
        <scheme val="minor"/>
      </rPr>
      <t>MIN</t>
    </r>
  </si>
  <si>
    <r>
      <rPr>
        <sz val="11"/>
        <color theme="1"/>
        <rFont val="等线"/>
        <charset val="134"/>
        <scheme val="minor"/>
      </rPr>
      <t>I</t>
    </r>
    <r>
      <rPr>
        <vertAlign val="subscript"/>
        <sz val="11"/>
        <color theme="1"/>
        <rFont val="等线"/>
        <charset val="134"/>
        <scheme val="minor"/>
      </rPr>
      <t>MAX</t>
    </r>
  </si>
  <si>
    <t>A</t>
  </si>
  <si>
    <r>
      <rPr>
        <sz val="11"/>
        <color theme="1"/>
        <rFont val="等线"/>
        <charset val="134"/>
        <scheme val="minor"/>
      </rPr>
      <t>Step voltage (Phase voltage） U</t>
    </r>
    <r>
      <rPr>
        <vertAlign val="subscript"/>
        <sz val="11"/>
        <color theme="1"/>
        <rFont val="等线"/>
        <charset val="134"/>
        <scheme val="minor"/>
      </rPr>
      <t>ST</t>
    </r>
  </si>
  <si>
    <t>V</t>
  </si>
  <si>
    <t>Total regulation voltage</t>
  </si>
  <si>
    <t>Across regulation winding for the same phase a</t>
  </si>
  <si>
    <t>Between any two taps of different phases b</t>
  </si>
  <si>
    <t xml:space="preserve">SO THIS TRANSFORMER  TAP SLELECTOR  CHOOSE 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</si>
</sst>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ont="1" applyFill="1" applyAlignment="1">
      <alignment vertical="center" wrapText="1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590550</xdr:colOff>
      <xdr:row>2</xdr:row>
      <xdr:rowOff>19208</xdr:rowOff>
    </xdr:from>
    <xdr:to>
      <xdr:col>12</xdr:col>
      <xdr:colOff>475437</xdr:colOff>
      <xdr:row>16</xdr:row>
      <xdr:rowOff>187007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9385" y="544830"/>
          <a:ext cx="4204970" cy="3086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147882</xdr:colOff>
      <xdr:row>22</xdr:row>
      <xdr:rowOff>47625</xdr:rowOff>
    </xdr:from>
    <xdr:to>
      <xdr:col>12</xdr:col>
      <xdr:colOff>428623</xdr:colOff>
      <xdr:row>41</xdr:row>
      <xdr:rowOff>161924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23375" y="4581525"/>
          <a:ext cx="3983990" cy="3443605"/>
        </a:xfrm>
        <a:prstGeom prst="rect">
          <a:avLst/>
        </a:prstGeom>
      </xdr:spPr>
    </xdr:pic>
    <xdr:clientData/>
  </xdr:twoCellAnchor>
  <xdr:twoCellAnchor>
    <xdr:from>
      <xdr:col>10</xdr:col>
      <xdr:colOff>161290</xdr:colOff>
      <xdr:row>6</xdr:row>
      <xdr:rowOff>157480</xdr:rowOff>
    </xdr:from>
    <xdr:to>
      <xdr:col>10</xdr:col>
      <xdr:colOff>594677</xdr:colOff>
      <xdr:row>6</xdr:row>
      <xdr:rowOff>157480</xdr:rowOff>
    </xdr:to>
    <xdr:cxnSp>
      <xdr:nvCxnSpPr>
        <xdr:cNvPr id="6" name="直接连接符 5"/>
        <xdr:cNvCxnSpPr/>
      </xdr:nvCxnSpPr>
      <xdr:spPr>
        <a:xfrm>
          <a:off x="11706225" y="1384300"/>
          <a:ext cx="43307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164465</xdr:colOff>
      <xdr:row>7</xdr:row>
      <xdr:rowOff>25400</xdr:rowOff>
    </xdr:from>
    <xdr:to>
      <xdr:col>10</xdr:col>
      <xdr:colOff>211455</xdr:colOff>
      <xdr:row>19</xdr:row>
      <xdr:rowOff>90170</xdr:rowOff>
    </xdr:to>
    <xdr:cxnSp>
      <xdr:nvCxnSpPr>
        <xdr:cNvPr id="8" name="直接箭头连接符 7"/>
        <xdr:cNvCxnSpPr/>
      </xdr:nvCxnSpPr>
      <xdr:spPr>
        <a:xfrm flipV="1">
          <a:off x="6962775" y="1427480"/>
          <a:ext cx="4793615" cy="2670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D21"/>
  <sheetViews>
    <sheetView tabSelected="1" zoomScale="130" zoomScaleNormal="130" workbookViewId="0">
      <selection activeCell="C27" sqref="C27"/>
    </sheetView>
  </sheetViews>
  <sheetFormatPr defaultColWidth="9" defaultRowHeight="13.8" outlineLevelCol="3"/>
  <cols>
    <col min="1" max="1" width="2.81481481481481" style="1" customWidth="1"/>
    <col min="2" max="2" width="63.7592592592593" style="1" customWidth="1"/>
    <col min="3" max="3" width="32.5555555555556" style="1" customWidth="1"/>
    <col min="4" max="4" width="14.2222222222222" style="1" customWidth="1"/>
    <col min="5" max="5" width="9.99074074074074" style="1" customWidth="1"/>
    <col min="6" max="16384" width="9" style="1"/>
  </cols>
  <sheetData>
    <row r="2" ht="27.6" spans="2:4">
      <c r="B2" s="2" t="s">
        <v>0</v>
      </c>
      <c r="C2" s="3" t="s">
        <v>1</v>
      </c>
    </row>
    <row r="3" spans="2:4">
      <c r="B3" s="4" t="s">
        <v>2</v>
      </c>
      <c r="C3" s="4"/>
      <c r="D3" s="4"/>
    </row>
    <row r="4" spans="2:4">
      <c r="B4" s="4" t="s">
        <v>3</v>
      </c>
      <c r="C4" s="4">
        <v>90000</v>
      </c>
      <c r="D4" s="4" t="s">
        <v>4</v>
      </c>
    </row>
    <row r="5" spans="2:4">
      <c r="B5" s="4" t="s">
        <v>5</v>
      </c>
      <c r="C5" s="4">
        <v>230</v>
      </c>
      <c r="D5" s="4" t="s">
        <v>6</v>
      </c>
    </row>
    <row r="6" spans="2:4">
      <c r="B6" s="4" t="s">
        <v>7</v>
      </c>
      <c r="C6" s="5" t="s">
        <v>8</v>
      </c>
      <c r="D6" s="5"/>
    </row>
    <row r="7" spans="2:4">
      <c r="B7" s="4" t="s">
        <v>9</v>
      </c>
      <c r="C7" s="5" t="s">
        <v>10</v>
      </c>
      <c r="D7" s="5"/>
    </row>
    <row r="8" spans="2:4">
      <c r="B8" s="4" t="s">
        <v>11</v>
      </c>
      <c r="C8" s="5" t="s">
        <v>12</v>
      </c>
      <c r="D8" s="5"/>
    </row>
    <row r="9" spans="2:4">
      <c r="B9" s="4" t="s">
        <v>13</v>
      </c>
      <c r="C9" s="5" t="s">
        <v>14</v>
      </c>
      <c r="D9" s="5" t="s">
        <v>15</v>
      </c>
    </row>
    <row r="10" spans="2:4">
      <c r="B10" s="4" t="s">
        <v>16</v>
      </c>
      <c r="C10" s="4">
        <f>(2*13+1)</f>
        <v>27</v>
      </c>
      <c r="D10" s="4">
        <f>(2*12+3)</f>
        <v>27</v>
      </c>
    </row>
    <row r="11" spans="2:4">
      <c r="B11" s="4" t="s">
        <v>17</v>
      </c>
      <c r="C11" s="4">
        <f>13+1</f>
        <v>14</v>
      </c>
      <c r="D11" s="4">
        <f>12+2</f>
        <v>14</v>
      </c>
    </row>
    <row r="12" ht="27.6" spans="2:4">
      <c r="B12" s="6" t="s">
        <v>18</v>
      </c>
      <c r="C12" s="4">
        <v>230</v>
      </c>
      <c r="D12" s="4" t="s">
        <v>19</v>
      </c>
    </row>
    <row r="13" ht="27.6" spans="2:4">
      <c r="B13" s="6" t="s">
        <v>20</v>
      </c>
      <c r="C13" s="4">
        <v>550</v>
      </c>
      <c r="D13" s="4" t="s">
        <v>21</v>
      </c>
    </row>
    <row r="14" ht="16.8" spans="2:4">
      <c r="B14" s="7" t="s">
        <v>22</v>
      </c>
      <c r="C14" s="7">
        <f>C5*(1+0.22)</f>
        <v>280.6</v>
      </c>
      <c r="D14" s="7" t="s">
        <v>6</v>
      </c>
    </row>
    <row r="15" ht="16.8" spans="2:4">
      <c r="B15" s="7" t="s">
        <v>23</v>
      </c>
      <c r="C15" s="7">
        <f>C5*(1-0.22)</f>
        <v>179.4</v>
      </c>
      <c r="D15" s="7" t="s">
        <v>6</v>
      </c>
    </row>
    <row r="16" ht="16.8" spans="2:4">
      <c r="B16" s="7" t="s">
        <v>24</v>
      </c>
      <c r="C16" s="7">
        <f>C4/C15/1.732</f>
        <v>289.649099770598</v>
      </c>
      <c r="D16" s="7" t="s">
        <v>25</v>
      </c>
    </row>
    <row r="17" ht="16.8" spans="2:4">
      <c r="B17" s="7" t="s">
        <v>26</v>
      </c>
      <c r="C17" s="8">
        <f>C5*0.22/13/1.732*1000</f>
        <v>2247.29081542015</v>
      </c>
      <c r="D17" s="7" t="s">
        <v>27</v>
      </c>
    </row>
    <row r="18" spans="2:4">
      <c r="B18" s="7" t="s">
        <v>28</v>
      </c>
      <c r="C18" s="8">
        <f>C17*13</f>
        <v>29214.7806004619</v>
      </c>
      <c r="D18" s="7" t="s">
        <v>27</v>
      </c>
    </row>
    <row r="19" spans="2:4">
      <c r="B19" s="7" t="s">
        <v>29</v>
      </c>
      <c r="C19" s="7">
        <f>2*C18</f>
        <v>58429.5612009238</v>
      </c>
      <c r="D19" s="7" t="s">
        <v>27</v>
      </c>
    </row>
    <row r="20" spans="2:4">
      <c r="B20" s="7" t="s">
        <v>30</v>
      </c>
      <c r="C20" s="9">
        <f>C19*1.732</f>
        <v>101200</v>
      </c>
      <c r="D20" s="7" t="s">
        <v>27</v>
      </c>
    </row>
    <row r="21" spans="2:4">
      <c r="B21" s="10" t="s">
        <v>31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建琴</dc:creator>
  <cp:lastModifiedBy>万志坚</cp:lastModifiedBy>
  <dcterms:created xsi:type="dcterms:W3CDTF">2026-02-01T15:30:00Z</dcterms:created>
  <dcterms:modified xsi:type="dcterms:W3CDTF">2026-03-02T00:58:51Z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28B20B2BBB254D9E91B2F02EA2215E27_12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