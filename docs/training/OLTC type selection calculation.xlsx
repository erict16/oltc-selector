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Administrator</author>
  </authors>
  <commentList>
    <comment ref="G1" authorId="0">
      <text>
        <r>
          <rPr>
            <sz val="9"/>
            <rFont val="宋体"/>
            <charset val="134"/>
          </rPr>
          <t>例如：调压范围110（1±10%）kV</t>
        </r>
      </text>
    </comment>
    <comment ref="J1" authorId="0">
      <text>
        <r>
          <rPr>
            <b/>
            <sz val="9"/>
            <rFont val="宋体"/>
            <charset val="134"/>
          </rPr>
          <t>调压范围/调压级数</t>
        </r>
      </text>
    </comment>
    <comment ref="P8" authorId="1">
      <text>
        <r>
          <rPr>
            <sz val="9"/>
            <rFont val="宋体"/>
            <charset val="134"/>
          </rPr>
          <t>110kV以内用</t>
        </r>
      </text>
    </comment>
    <comment ref="B9" authorId="0">
      <text>
        <r>
          <rPr>
            <sz val="9"/>
            <rFont val="宋体"/>
            <charset val="134"/>
          </rPr>
          <t>单相：不除3或1.732；
III相：Y接中性点/1.732 , D接/3</t>
        </r>
      </text>
    </comment>
    <comment ref="B10" authorId="0">
      <text>
        <r>
          <rPr>
            <sz val="9"/>
            <rFont val="宋体"/>
            <charset val="134"/>
          </rPr>
          <t>III相 Y接： Imax=kVA额定容量/（额定电压*(1－10%)*1.732)
III相 D接： Imax=kVA额定容量/（额定电压*(1－10%)*3）
I相： Imax=kVA额定容量/额定电压*(1－10%)
PS：Imax是指最小抽头位置时的电流（即：最大负分接位置时的电流为最大）
III phase Y connection: Imax=kVA rated capacity/(rated voltage*(1-10%)*1.732)
III phase D connection: Imax=kVA rated capacity/(rated voltage*(1-10%)*3)
Single Phase : Imax=kVA rated capacity / rated voltage *(1-10%)
Current at Min. Tap is Imax。</t>
        </r>
      </text>
    </comment>
    <comment ref="P10" authorId="1">
      <text>
        <r>
          <rPr>
            <sz val="9"/>
            <rFont val="宋体"/>
            <charset val="134"/>
          </rPr>
          <t xml:space="preserve">110kV以内用
</t>
        </r>
      </text>
    </comment>
    <comment ref="B11" authorId="1">
      <text>
        <r>
          <rPr>
            <sz val="9"/>
            <rFont val="宋体"/>
            <charset val="134"/>
          </rPr>
          <t xml:space="preserve">=rated capacity/(rated voltage*3)
</t>
        </r>
      </text>
    </comment>
    <comment ref="B12" authorId="0">
      <text>
        <r>
          <rPr>
            <sz val="9"/>
            <rFont val="宋体"/>
            <charset val="134"/>
          </rPr>
          <t xml:space="preserve">Y 接中性点为分级电压，比如：110kV的用72.5B就可以满足。
而 D接 则是全电压， 110kV则需要用126C
</t>
        </r>
      </text>
    </comment>
    <comment ref="P12" authorId="1">
      <text>
        <r>
          <rPr>
            <sz val="9"/>
            <rFont val="宋体"/>
            <charset val="134"/>
          </rPr>
          <t xml:space="preserve">138kV以内用
</t>
        </r>
      </text>
    </comment>
    <comment ref="B13" authorId="0">
      <text>
        <r>
          <rPr>
            <b/>
            <sz val="9"/>
            <rFont val="宋体"/>
            <charset val="134"/>
          </rPr>
          <t>The highest voltage for equipment</t>
        </r>
        <r>
          <rPr>
            <sz val="9"/>
            <rFont val="宋体"/>
            <charset val="134"/>
          </rPr>
          <t xml:space="preserve">
</t>
        </r>
      </text>
    </comment>
    <comment ref="B14" authorId="0">
      <text>
        <r>
          <rPr>
            <b/>
            <sz val="9"/>
            <rFont val="宋体"/>
            <charset val="134"/>
          </rPr>
          <t>Tap selector size</t>
        </r>
      </text>
    </comment>
    <comment ref="D14" authorId="1">
      <text>
        <r>
          <rPr>
            <sz val="9"/>
            <rFont val="宋体"/>
            <charset val="134"/>
          </rPr>
          <t xml:space="preserve">115kV的，如果是Y接中性点一般来说72.5B 可以满足， 具体要看首末端的内部绝缘. D接就得用126C
</t>
        </r>
      </text>
    </comment>
    <comment ref="E14" authorId="1">
      <text>
        <r>
          <rPr>
            <b/>
            <sz val="9"/>
            <rFont val="宋体"/>
            <charset val="134"/>
          </rPr>
          <t>150kV的，如果是Y接中性点有可能需要72.5C， 要看首末端的内部绝缘</t>
        </r>
      </text>
    </comment>
    <comment ref="P14" authorId="1">
      <text>
        <r>
          <rPr>
            <sz val="9"/>
            <rFont val="宋体"/>
            <charset val="134"/>
          </rPr>
          <t xml:space="preserve">138kV以内用
</t>
        </r>
      </text>
    </comment>
    <comment ref="B15" authorId="0">
      <text>
        <r>
          <rPr>
            <sz val="9"/>
            <rFont val="宋体"/>
            <charset val="134"/>
          </rPr>
          <t>III相 Y接： Ust=U(额定-V)*调压精度/1.732
III相 D接： Ust=U(额定-V)*调压精度（不用除3）
I相： Ust=U(额定-V)*调压精度
III phase Y connection: Ust = U (rated - Volts) * Regulating precision / 1.732
III phase D connection: Ust=U(rated - Volts)*Regulating precision (PS: no necessary to divide by "3")
Single phase: Ust=U(rated - Volts)*Regulating precision
PS: Regulating precision= Whole regulating precision/No. of steps. (for example： ±10%/±8=1.25%，ie: Regulating precision 1.25%=0.0125 )</t>
        </r>
      </text>
    </comment>
    <comment ref="B16" authorId="0">
      <text>
        <r>
          <rPr>
            <sz val="9"/>
            <rFont val="宋体"/>
            <charset val="134"/>
          </rPr>
          <t xml:space="preserve">额定级容量=额定极电压*额定电流
</t>
        </r>
      </text>
    </comment>
    <comment ref="P16" authorId="1">
      <text>
        <r>
          <rPr>
            <b/>
            <sz val="9"/>
            <rFont val="宋体"/>
            <charset val="134"/>
          </rPr>
          <t>110kV ---220kV</t>
        </r>
      </text>
    </comment>
    <comment ref="B17" authorId="0">
      <text>
        <r>
          <rPr>
            <sz val="9"/>
            <rFont val="宋体"/>
            <charset val="134"/>
          </rPr>
          <t>Pst =Ust×Imax
即：最大级容量</t>
        </r>
      </text>
    </comment>
  </commentList>
</comments>
</file>

<file path=xl/sharedStrings.xml><?xml version="1.0" encoding="utf-8"?>
<sst xmlns="http://schemas.openxmlformats.org/spreadsheetml/2006/main" count="135" uniqueCount="88">
  <si>
    <r>
      <rPr>
        <b/>
        <sz val="9"/>
        <color theme="1"/>
        <rFont val="宋体"/>
        <charset val="134"/>
      </rPr>
      <t>额定容量</t>
    </r>
    <r>
      <rPr>
        <b/>
        <sz val="9"/>
        <color theme="1"/>
        <rFont val="Calibri"/>
        <charset val="134"/>
      </rPr>
      <t>KVA</t>
    </r>
  </si>
  <si>
    <r>
      <rPr>
        <b/>
        <sz val="9"/>
        <color theme="1"/>
        <rFont val="宋体"/>
        <charset val="134"/>
      </rPr>
      <t>额定电压</t>
    </r>
    <r>
      <rPr>
        <b/>
        <sz val="9"/>
        <color theme="1"/>
        <rFont val="Calibri"/>
        <charset val="134"/>
      </rPr>
      <t>kV</t>
    </r>
  </si>
  <si>
    <r>
      <rPr>
        <b/>
        <sz val="9"/>
        <color theme="1"/>
        <rFont val="宋体"/>
        <charset val="134"/>
      </rPr>
      <t>接线方式</t>
    </r>
  </si>
  <si>
    <r>
      <rPr>
        <b/>
        <sz val="9"/>
        <color theme="1"/>
        <rFont val="宋体"/>
        <charset val="134"/>
      </rPr>
      <t>相数</t>
    </r>
  </si>
  <si>
    <r>
      <rPr>
        <b/>
        <sz val="9"/>
        <color theme="1"/>
        <rFont val="宋体"/>
        <charset val="134"/>
      </rPr>
      <t>调压范围</t>
    </r>
  </si>
  <si>
    <r>
      <rPr>
        <b/>
        <sz val="9"/>
        <color theme="1"/>
        <rFont val="宋体"/>
        <charset val="134"/>
      </rPr>
      <t>最小负范围</t>
    </r>
  </si>
  <si>
    <r>
      <rPr>
        <b/>
        <sz val="9"/>
        <color theme="1"/>
        <rFont val="宋体"/>
        <charset val="134"/>
      </rPr>
      <t>调压级数</t>
    </r>
  </si>
  <si>
    <r>
      <rPr>
        <b/>
        <sz val="9"/>
        <color theme="1"/>
        <rFont val="宋体"/>
        <charset val="134"/>
      </rPr>
      <t>调压精度</t>
    </r>
    <r>
      <rPr>
        <b/>
        <sz val="9"/>
        <color theme="1"/>
        <rFont val="Calibri"/>
        <charset val="134"/>
      </rPr>
      <t>(</t>
    </r>
    <r>
      <rPr>
        <b/>
        <sz val="9"/>
        <color theme="1"/>
        <rFont val="宋体"/>
        <charset val="134"/>
      </rPr>
      <t>调压百分比</t>
    </r>
    <r>
      <rPr>
        <b/>
        <sz val="9"/>
        <color theme="1"/>
        <rFont val="Calibri"/>
        <charset val="134"/>
      </rPr>
      <t>)</t>
    </r>
  </si>
  <si>
    <t>工频耐压</t>
  </si>
  <si>
    <t>雷电冲击</t>
  </si>
  <si>
    <t>Rated Capacity</t>
  </si>
  <si>
    <t>Rated Voltage</t>
  </si>
  <si>
    <t>Configuration of Tap Winding</t>
  </si>
  <si>
    <t>TAP Location</t>
  </si>
  <si>
    <t>Phase No.</t>
  </si>
  <si>
    <t>Regulating range</t>
  </si>
  <si>
    <t>Minimum Negative Range</t>
  </si>
  <si>
    <t>No. of Steps</t>
  </si>
  <si>
    <t>Regulating precision</t>
  </si>
  <si>
    <t>PF(OLTC)</t>
  </si>
  <si>
    <t>BIL(OLTC)</t>
  </si>
  <si>
    <t>Y</t>
  </si>
  <si>
    <t>III</t>
  </si>
  <si>
    <t>例：</t>
  </si>
  <si>
    <r>
      <rPr>
        <b/>
        <sz val="9"/>
        <color theme="1"/>
        <rFont val="宋体"/>
        <charset val="134"/>
      </rPr>
      <t>（</t>
    </r>
    <r>
      <rPr>
        <b/>
        <sz val="9"/>
        <color theme="1"/>
        <rFont val="Calibri"/>
        <charset val="134"/>
      </rPr>
      <t>PN</t>
    </r>
    <r>
      <rPr>
        <b/>
        <sz val="9"/>
        <color theme="1"/>
        <rFont val="宋体"/>
        <charset val="134"/>
      </rPr>
      <t>）</t>
    </r>
    <r>
      <rPr>
        <b/>
        <sz val="9"/>
        <color theme="1"/>
        <rFont val="Calibri"/>
        <charset val="134"/>
      </rPr>
      <t>50MVA</t>
    </r>
  </si>
  <si>
    <t>110kV</t>
  </si>
  <si>
    <t>Y/D/I</t>
  </si>
  <si>
    <t>I/II/III</t>
  </si>
  <si>
    <t>±10%</t>
  </si>
  <si>
    <t>±8</t>
  </si>
  <si>
    <t>D</t>
  </si>
  <si>
    <t>+5%-15%</t>
  </si>
  <si>
    <t>15/13</t>
  </si>
  <si>
    <t xml:space="preserve">Basic Connection of Tap Winding </t>
  </si>
  <si>
    <t>I/D/Y</t>
  </si>
  <si>
    <t>I</t>
  </si>
  <si>
    <t>III - D</t>
  </si>
  <si>
    <t>III - Y</t>
  </si>
  <si>
    <t>III-HWDK</t>
  </si>
  <si>
    <t>W</t>
  </si>
  <si>
    <r>
      <t>Max through</t>
    </r>
    <r>
      <rPr>
        <b/>
        <sz val="9"/>
        <color rgb="FFFF0000"/>
        <rFont val="Calibri"/>
        <charset val="134"/>
      </rPr>
      <t xml:space="preserve"> current Imax[A]</t>
    </r>
  </si>
  <si>
    <r>
      <t xml:space="preserve">Rated current </t>
    </r>
    <r>
      <rPr>
        <b/>
        <sz val="9"/>
        <color theme="1"/>
        <rFont val="Calibri"/>
        <charset val="134"/>
      </rPr>
      <t>In[A]</t>
    </r>
  </si>
  <si>
    <t>voltage level U</t>
  </si>
  <si>
    <t>33kV</t>
  </si>
  <si>
    <t>66kV</t>
  </si>
  <si>
    <t>138kV</t>
  </si>
  <si>
    <t>150kV</t>
  </si>
  <si>
    <t>220kV</t>
  </si>
  <si>
    <t>Highest voltage for equipment Um</t>
  </si>
  <si>
    <t>tap selector (Generally)</t>
  </si>
  <si>
    <t>/</t>
  </si>
  <si>
    <t>≤115kV ~ B</t>
  </si>
  <si>
    <r>
      <rPr>
        <sz val="9"/>
        <color theme="1"/>
        <rFont val="Calibri"/>
        <charset val="134"/>
      </rPr>
      <t xml:space="preserve">150~220kV ~ C </t>
    </r>
    <r>
      <rPr>
        <sz val="9"/>
        <color rgb="FFFF0000"/>
        <rFont val="宋体"/>
        <charset val="134"/>
      </rPr>
      <t>？</t>
    </r>
  </si>
  <si>
    <r>
      <rPr>
        <sz val="9"/>
        <color theme="1"/>
        <rFont val="Calibri"/>
        <charset val="134"/>
      </rPr>
      <t>&gt;220kV  ~ D</t>
    </r>
    <r>
      <rPr>
        <sz val="9"/>
        <color rgb="FFFF0000"/>
        <rFont val="宋体"/>
        <charset val="134"/>
      </rPr>
      <t>？</t>
    </r>
  </si>
  <si>
    <r>
      <rPr>
        <sz val="9"/>
        <color theme="1"/>
        <rFont val="Calibri"/>
        <charset val="134"/>
      </rPr>
      <t>&gt;330kV  ~ DE</t>
    </r>
    <r>
      <rPr>
        <sz val="9"/>
        <color rgb="FFFF0000"/>
        <rFont val="宋体"/>
        <charset val="134"/>
      </rPr>
      <t>？</t>
    </r>
  </si>
  <si>
    <r>
      <t>Rated step voltage</t>
    </r>
    <r>
      <rPr>
        <b/>
        <sz val="9"/>
        <color rgb="FFFF0000"/>
        <rFont val="Calibri"/>
        <charset val="134"/>
      </rPr>
      <t xml:space="preserve"> Ust[V]</t>
    </r>
  </si>
  <si>
    <r>
      <t>switching capacity</t>
    </r>
    <r>
      <rPr>
        <b/>
        <sz val="9"/>
        <color rgb="FFFF0000"/>
        <rFont val="Calibri"/>
        <charset val="134"/>
      </rPr>
      <t xml:space="preserve"> kVA</t>
    </r>
  </si>
  <si>
    <t>insulation data</t>
  </si>
  <si>
    <t>设备最高电压Um</t>
  </si>
  <si>
    <r>
      <rPr>
        <b/>
        <sz val="8"/>
        <color theme="1"/>
        <rFont val="Calibri"/>
        <charset val="134"/>
      </rPr>
      <t>PF</t>
    </r>
    <r>
      <rPr>
        <b/>
        <sz val="8"/>
        <color theme="1"/>
        <rFont val="宋体"/>
        <charset val="134"/>
      </rPr>
      <t>（</t>
    </r>
    <r>
      <rPr>
        <b/>
        <sz val="8"/>
        <color theme="1"/>
        <rFont val="Calibri"/>
        <charset val="134"/>
      </rPr>
      <t>50Hz</t>
    </r>
    <r>
      <rPr>
        <b/>
        <sz val="8"/>
        <color theme="1"/>
        <rFont val="宋体"/>
        <charset val="134"/>
      </rPr>
      <t>，</t>
    </r>
    <r>
      <rPr>
        <b/>
        <sz val="8"/>
        <color theme="1"/>
        <rFont val="Calibri"/>
        <charset val="134"/>
      </rPr>
      <t>1min</t>
    </r>
    <r>
      <rPr>
        <b/>
        <sz val="8"/>
        <color theme="1"/>
        <rFont val="宋体"/>
        <charset val="134"/>
      </rPr>
      <t>）</t>
    </r>
  </si>
  <si>
    <r>
      <rPr>
        <b/>
        <sz val="8"/>
        <color theme="1"/>
        <rFont val="Calibri"/>
        <charset val="134"/>
      </rPr>
      <t>BIL</t>
    </r>
    <r>
      <rPr>
        <b/>
        <sz val="8"/>
        <color theme="1"/>
        <rFont val="宋体"/>
        <charset val="134"/>
      </rPr>
      <t>（全波</t>
    </r>
    <r>
      <rPr>
        <b/>
        <sz val="8"/>
        <color theme="1"/>
        <rFont val="Calibri"/>
        <charset val="134"/>
      </rPr>
      <t>1.2/50μs</t>
    </r>
    <r>
      <rPr>
        <b/>
        <sz val="8"/>
        <color theme="1"/>
        <rFont val="宋体"/>
        <charset val="134"/>
      </rPr>
      <t>）</t>
    </r>
  </si>
  <si>
    <t>无分接选择器</t>
  </si>
  <si>
    <t>带分接选择器</t>
  </si>
  <si>
    <t>CV</t>
  </si>
  <si>
    <t>SV</t>
  </si>
  <si>
    <t>CV2</t>
  </si>
  <si>
    <r>
      <t>110kV</t>
    </r>
    <r>
      <rPr>
        <sz val="9"/>
        <color theme="1"/>
        <rFont val="宋体"/>
        <charset val="134"/>
      </rPr>
      <t>below</t>
    </r>
  </si>
  <si>
    <t>B</t>
  </si>
  <si>
    <t>CM</t>
  </si>
  <si>
    <t>CM2</t>
  </si>
  <si>
    <t>CMD</t>
  </si>
  <si>
    <t>SHZV</t>
  </si>
  <si>
    <t>SHZVG</t>
  </si>
  <si>
    <t>SDZV</t>
  </si>
  <si>
    <t>110kV~220kV</t>
  </si>
  <si>
    <t>C</t>
  </si>
  <si>
    <t>220Kv above</t>
  </si>
  <si>
    <t>DE</t>
  </si>
  <si>
    <t>E</t>
  </si>
  <si>
    <t>Dry</t>
  </si>
  <si>
    <t>CVT</t>
  </si>
  <si>
    <t>3XCZI</t>
  </si>
  <si>
    <t>HWV</t>
  </si>
  <si>
    <t>HWDK</t>
  </si>
  <si>
    <r>
      <rPr>
        <sz val="8"/>
        <color theme="1"/>
        <rFont val="Calibri"/>
        <charset val="134"/>
      </rPr>
      <t>W</t>
    </r>
    <r>
      <rPr>
        <sz val="8"/>
        <color theme="1"/>
        <rFont val="Segoe UI Symbol"/>
        <charset val="134"/>
      </rPr>
      <t>□</t>
    </r>
    <r>
      <rPr>
        <sz val="8"/>
        <color theme="1"/>
        <rFont val="Calibri"/>
        <charset val="134"/>
      </rPr>
      <t>G</t>
    </r>
  </si>
  <si>
    <r>
      <rPr>
        <sz val="8"/>
        <color theme="1"/>
        <rFont val="Calibri"/>
        <charset val="134"/>
      </rPr>
      <t>W</t>
    </r>
    <r>
      <rPr>
        <sz val="8"/>
        <color theme="1"/>
        <rFont val="Segoe UI Symbol"/>
        <charset val="134"/>
      </rPr>
      <t>□</t>
    </r>
    <r>
      <rPr>
        <sz val="8"/>
        <color theme="1"/>
        <rFont val="Calibri"/>
        <charset val="134"/>
      </rPr>
      <t>L</t>
    </r>
  </si>
  <si>
    <t>325/350</t>
  </si>
  <si>
    <r>
      <rPr>
        <sz val="8"/>
        <color theme="1"/>
        <rFont val="Calibri"/>
        <charset val="134"/>
      </rPr>
      <t>W</t>
    </r>
    <r>
      <rPr>
        <sz val="8"/>
        <color theme="1"/>
        <rFont val="宋体"/>
        <charset val="134"/>
      </rPr>
      <t>□</t>
    </r>
    <r>
      <rPr>
        <sz val="8"/>
        <color theme="1"/>
        <rFont val="Calibri"/>
        <charset val="134"/>
      </rPr>
      <t>L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</si>
</sst>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000_ "/>
    <numFmt numFmtId="179" formatCode="0.00_);[Red]\(0.00\)"/>
    <numFmt numFmtId="180" formatCode="0.0_);[Red]\(0.0\)"/>
    <numFmt numFmtId="181" formatCode="0_);[Red]\(0\)"/>
  </numFmts>
  <fonts count="48">
    <font>
      <sz val="11"/>
      <color theme="1"/>
      <name val="宋体"/>
      <charset val="134"/>
      <scheme val="minor"/>
    </font>
    <font>
      <sz val="9"/>
      <color theme="1"/>
      <name val="Calibri"/>
      <charset val="134"/>
    </font>
    <font>
      <b/>
      <sz val="9"/>
      <color theme="1"/>
      <name val="Calibri"/>
      <charset val="134"/>
    </font>
    <font>
      <sz val="9"/>
      <color rgb="FFFF0000"/>
      <name val="Calibri"/>
      <charset val="134"/>
    </font>
    <font>
      <sz val="8"/>
      <color theme="1"/>
      <name val="Calibri"/>
      <charset val="134"/>
    </font>
    <font>
      <b/>
      <sz val="9"/>
      <color theme="1"/>
      <name val="宋体"/>
      <charset val="134"/>
    </font>
    <font>
      <b/>
      <sz val="9"/>
      <name val="Calibri"/>
      <charset val="134"/>
    </font>
    <font>
      <sz val="8"/>
      <name val="Calibri"/>
      <charset val="134"/>
    </font>
    <font>
      <sz val="9"/>
      <name val="Calibri"/>
      <charset val="134"/>
    </font>
    <font>
      <b/>
      <sz val="8"/>
      <name val="Calibri"/>
      <charset val="134"/>
    </font>
    <font>
      <sz val="9"/>
      <color theme="1"/>
      <name val="宋体"/>
      <charset val="134"/>
    </font>
    <font>
      <b/>
      <sz val="8"/>
      <name val="宋体"/>
      <charset val="134"/>
    </font>
    <font>
      <b/>
      <sz val="9"/>
      <color rgb="FFFF0000"/>
      <name val="宋体"/>
      <charset val="134"/>
    </font>
    <font>
      <b/>
      <sz val="9"/>
      <color rgb="FFFF0000"/>
      <name val="Calibri"/>
      <charset val="134"/>
    </font>
    <font>
      <sz val="9"/>
      <name val="宋体"/>
      <charset val="134"/>
    </font>
    <font>
      <sz val="9"/>
      <color rgb="FFFF0000"/>
      <name val="宋体"/>
      <charset val="134"/>
    </font>
    <font>
      <b/>
      <sz val="9"/>
      <color rgb="FFC00000"/>
      <name val="Calibri"/>
      <charset val="134"/>
    </font>
    <font>
      <b/>
      <sz val="8"/>
      <color theme="1"/>
      <name val="宋体"/>
      <charset val="134"/>
    </font>
    <font>
      <b/>
      <sz val="8"/>
      <color theme="1"/>
      <name val="Calibri"/>
      <charset val="134"/>
    </font>
    <font>
      <sz val="8"/>
      <color rgb="FFFF0000"/>
      <name val="Calibri"/>
      <charset val="134"/>
    </font>
    <font>
      <b/>
      <sz val="11"/>
      <color rgb="FFFF0000"/>
      <name val="Calibri"/>
      <charset val="134"/>
    </font>
    <font>
      <b/>
      <sz val="11"/>
      <color rgb="FFFF0000"/>
      <name val="宋体"/>
      <charset val="134"/>
    </font>
    <font>
      <b/>
      <sz val="10"/>
      <color theme="1"/>
      <name val="Segoe UI"/>
      <charset val="134"/>
    </font>
    <font>
      <sz val="10"/>
      <color theme="1"/>
      <name val="Segoe UI"/>
      <charset val="134"/>
    </font>
    <font>
      <sz val="10.5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theme="1"/>
      <name val="宋体"/>
      <charset val="134"/>
    </font>
    <font>
      <sz val="8"/>
      <color theme="1"/>
      <name val="Segoe UI Symbol"/>
      <charset val="134"/>
    </font>
    <font>
      <sz val="9"/>
      <name val="宋体"/>
      <charset val="134"/>
    </font>
    <font>
      <b/>
      <sz val="9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249977111117893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8" tint="0.399884029663991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399884029663991"/>
        </stop>
      </gradientFill>
    </fill>
    <fill>
      <gradientFill type="path" left="0.5" right="0.5" top="0.5" bottom="0.5">
        <stop position="0">
          <color theme="0"/>
        </stop>
        <stop position="1">
          <color theme="6"/>
        </stop>
      </gradientFill>
    </fill>
    <fill>
      <gradientFill type="path" left="0.5" right="0.5" top="0.5" bottom="0.5">
        <stop position="0">
          <color theme="0"/>
        </stop>
        <stop position="1">
          <color theme="3" tint="0.599993896298105"/>
        </stop>
      </gradientFill>
    </fill>
    <fill>
      <gradientFill type="path" left="0.5" right="0.5" top="0.5" bottom="0.5">
        <stop position="0">
          <color theme="0"/>
        </stop>
        <stop position="1">
          <color theme="9"/>
        </stop>
      </gradientFill>
    </fill>
    <fill>
      <patternFill patternType="solid">
        <fgColor theme="7" tint="0.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0.3998535111545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double">
        <color rgb="FFFF0000"/>
      </bottom>
      <diagonal/>
    </border>
    <border>
      <left/>
      <right/>
      <top style="double">
        <color rgb="FFFF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4" borderId="26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7" applyNumberFormat="0" applyFill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2" fillId="0" borderId="28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5" borderId="29" applyNumberFormat="0" applyAlignment="0" applyProtection="0">
      <alignment vertical="center"/>
    </xf>
    <xf numFmtId="0" fontId="34" fillId="16" borderId="30" applyNumberFormat="0" applyAlignment="0" applyProtection="0">
      <alignment vertical="center"/>
    </xf>
    <xf numFmtId="0" fontId="35" fillId="16" borderId="29" applyNumberFormat="0" applyAlignment="0" applyProtection="0">
      <alignment vertical="center"/>
    </xf>
    <xf numFmtId="0" fontId="36" fillId="17" borderId="31" applyNumberFormat="0" applyAlignment="0" applyProtection="0">
      <alignment vertical="center"/>
    </xf>
    <xf numFmtId="0" fontId="37" fillId="0" borderId="32" applyNumberFormat="0" applyFill="0" applyAlignment="0" applyProtection="0">
      <alignment vertical="center"/>
    </xf>
    <xf numFmtId="0" fontId="38" fillId="0" borderId="33" applyNumberFormat="0" applyFill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</cellStyleXfs>
  <cellXfs count="13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177" fontId="1" fillId="5" borderId="7" xfId="0" applyNumberFormat="1" applyFont="1" applyFill="1" applyBorder="1" applyAlignment="1">
      <alignment horizontal="center" vertical="center"/>
    </xf>
    <xf numFmtId="177" fontId="1" fillId="4" borderId="7" xfId="0" applyNumberFormat="1" applyFont="1" applyFill="1" applyBorder="1" applyAlignment="1">
      <alignment horizontal="center" vertical="center"/>
    </xf>
    <xf numFmtId="10" fontId="1" fillId="6" borderId="7" xfId="0" applyNumberFormat="1" applyFont="1" applyFill="1" applyBorder="1" applyAlignment="1">
      <alignment horizontal="center" vertical="center"/>
    </xf>
    <xf numFmtId="10" fontId="1" fillId="4" borderId="7" xfId="0" applyNumberFormat="1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178" fontId="1" fillId="7" borderId="7" xfId="0" applyNumberFormat="1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>
      <alignment vertical="center"/>
    </xf>
    <xf numFmtId="0" fontId="7" fillId="0" borderId="0" xfId="0" applyFont="1" applyFill="1" applyBorder="1">
      <alignment vertical="center"/>
    </xf>
    <xf numFmtId="0" fontId="10" fillId="0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9" fontId="1" fillId="9" borderId="0" xfId="0" applyNumberFormat="1" applyFont="1" applyFill="1" applyAlignment="1">
      <alignment horizontal="center" vertical="center"/>
    </xf>
    <xf numFmtId="10" fontId="1" fillId="9" borderId="0" xfId="0" applyNumberFormat="1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177" fontId="1" fillId="9" borderId="0" xfId="0" applyNumberFormat="1" applyFont="1" applyFill="1" applyAlignment="1">
      <alignment horizontal="center" vertical="center"/>
    </xf>
    <xf numFmtId="176" fontId="9" fillId="0" borderId="0" xfId="0" applyNumberFormat="1" applyFont="1" applyFill="1" applyBorder="1" applyAlignment="1">
      <alignment horizontal="center" vertical="center"/>
    </xf>
    <xf numFmtId="49" fontId="1" fillId="9" borderId="0" xfId="0" applyNumberFormat="1" applyFont="1" applyFill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9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76" fontId="8" fillId="0" borderId="0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>
      <alignment vertical="center"/>
    </xf>
    <xf numFmtId="0" fontId="2" fillId="2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2" fillId="10" borderId="8" xfId="0" applyFont="1" applyFill="1" applyBorder="1" applyAlignment="1">
      <alignment horizontal="center" vertical="center"/>
    </xf>
    <xf numFmtId="176" fontId="13" fillId="10" borderId="8" xfId="0" applyNumberFormat="1" applyFont="1" applyFill="1" applyBorder="1" applyAlignment="1">
      <alignment horizontal="center" vertical="center"/>
    </xf>
    <xf numFmtId="0" fontId="2" fillId="11" borderId="10" xfId="0" applyFont="1" applyFill="1" applyBorder="1">
      <alignment vertical="center"/>
    </xf>
    <xf numFmtId="0" fontId="5" fillId="10" borderId="8" xfId="0" applyFont="1" applyFill="1" applyBorder="1" applyAlignment="1">
      <alignment horizontal="center" vertical="center"/>
    </xf>
    <xf numFmtId="179" fontId="1" fillId="10" borderId="8" xfId="0" applyNumberFormat="1" applyFont="1" applyFill="1" applyBorder="1" applyAlignment="1">
      <alignment horizontal="center" vertical="center"/>
    </xf>
    <xf numFmtId="0" fontId="2" fillId="11" borderId="0" xfId="0" applyFont="1" applyFill="1">
      <alignment vertical="center"/>
    </xf>
    <xf numFmtId="0" fontId="5" fillId="12" borderId="8" xfId="0" applyFont="1" applyFill="1" applyBorder="1" applyAlignment="1">
      <alignment horizontal="center" vertical="center"/>
    </xf>
    <xf numFmtId="0" fontId="1" fillId="12" borderId="8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center" vertical="center"/>
    </xf>
    <xf numFmtId="176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5" fillId="12" borderId="8" xfId="0" applyFont="1" applyFill="1" applyBorder="1" applyAlignment="1">
      <alignment horizontal="center" vertical="top" wrapText="1"/>
    </xf>
    <xf numFmtId="179" fontId="13" fillId="10" borderId="8" xfId="0" applyNumberFormat="1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179" fontId="1" fillId="0" borderId="8" xfId="0" applyNumberFormat="1" applyFont="1" applyBorder="1" applyAlignment="1">
      <alignment horizontal="center" vertical="center"/>
    </xf>
    <xf numFmtId="179" fontId="13" fillId="0" borderId="8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6" fontId="10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176" fontId="17" fillId="13" borderId="12" xfId="0" applyNumberFormat="1" applyFont="1" applyFill="1" applyBorder="1" applyAlignment="1">
      <alignment horizontal="left" vertical="center"/>
    </xf>
    <xf numFmtId="176" fontId="18" fillId="13" borderId="13" xfId="0" applyNumberFormat="1" applyFont="1" applyFill="1" applyBorder="1" applyAlignment="1">
      <alignment horizontal="center" vertical="center"/>
    </xf>
    <xf numFmtId="176" fontId="18" fillId="13" borderId="14" xfId="0" applyNumberFormat="1" applyFont="1" applyFill="1" applyBorder="1" applyAlignment="1">
      <alignment horizontal="center" vertical="center"/>
    </xf>
    <xf numFmtId="176" fontId="18" fillId="13" borderId="0" xfId="0" applyNumberFormat="1" applyFont="1" applyFill="1" applyAlignment="1">
      <alignment horizontal="center" vertical="center"/>
    </xf>
    <xf numFmtId="176" fontId="17" fillId="13" borderId="15" xfId="0" applyNumberFormat="1" applyFont="1" applyFill="1" applyBorder="1" applyAlignment="1">
      <alignment horizontal="center" vertical="center"/>
    </xf>
    <xf numFmtId="176" fontId="17" fillId="13" borderId="16" xfId="0" applyNumberFormat="1" applyFont="1" applyFill="1" applyBorder="1" applyAlignment="1">
      <alignment horizontal="center" vertical="center"/>
    </xf>
    <xf numFmtId="176" fontId="18" fillId="13" borderId="17" xfId="0" applyNumberFormat="1" applyFont="1" applyFill="1" applyBorder="1" applyAlignment="1">
      <alignment horizontal="center" vertical="center"/>
    </xf>
    <xf numFmtId="176" fontId="17" fillId="13" borderId="17" xfId="0" applyNumberFormat="1" applyFont="1" applyFill="1" applyBorder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80" fontId="2" fillId="13" borderId="18" xfId="0" applyNumberFormat="1" applyFont="1" applyFill="1" applyBorder="1" applyAlignment="1">
      <alignment horizontal="center" vertical="center"/>
    </xf>
    <xf numFmtId="181" fontId="1" fillId="13" borderId="8" xfId="0" applyNumberFormat="1" applyFont="1" applyFill="1" applyBorder="1" applyAlignment="1">
      <alignment horizontal="center" vertical="center"/>
    </xf>
    <xf numFmtId="181" fontId="1" fillId="13" borderId="19" xfId="0" applyNumberFormat="1" applyFont="1" applyFill="1" applyBorder="1" applyAlignment="1">
      <alignment horizontal="center" vertical="center"/>
    </xf>
    <xf numFmtId="180" fontId="1" fillId="13" borderId="0" xfId="0" applyNumberFormat="1" applyFont="1" applyFill="1" applyAlignment="1">
      <alignment horizontal="center" vertical="center"/>
    </xf>
    <xf numFmtId="176" fontId="4" fillId="13" borderId="15" xfId="0" applyNumberFormat="1" applyFont="1" applyFill="1" applyBorder="1" applyAlignment="1">
      <alignment horizontal="center" vertical="center"/>
    </xf>
    <xf numFmtId="176" fontId="4" fillId="13" borderId="16" xfId="0" applyNumberFormat="1" applyFont="1" applyFill="1" applyBorder="1" applyAlignment="1">
      <alignment horizontal="center" vertical="center"/>
    </xf>
    <xf numFmtId="176" fontId="4" fillId="13" borderId="17" xfId="0" applyNumberFormat="1" applyFont="1" applyFill="1" applyBorder="1" applyAlignment="1">
      <alignment horizontal="center" vertical="center"/>
    </xf>
    <xf numFmtId="0" fontId="4" fillId="13" borderId="17" xfId="0" applyFont="1" applyFill="1" applyBorder="1" applyAlignment="1">
      <alignment horizontal="center" vertical="center"/>
    </xf>
    <xf numFmtId="0" fontId="19" fillId="13" borderId="17" xfId="0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right" vertical="center"/>
    </xf>
    <xf numFmtId="181" fontId="2" fillId="13" borderId="18" xfId="0" applyNumberFormat="1" applyFont="1" applyFill="1" applyBorder="1" applyAlignment="1">
      <alignment horizontal="center" vertical="center"/>
    </xf>
    <xf numFmtId="181" fontId="18" fillId="13" borderId="18" xfId="0" applyNumberFormat="1" applyFont="1" applyFill="1" applyBorder="1" applyAlignment="1">
      <alignment horizontal="center" vertical="center"/>
    </xf>
    <xf numFmtId="177" fontId="18" fillId="13" borderId="18" xfId="0" applyNumberFormat="1" applyFont="1" applyFill="1" applyBorder="1" applyAlignment="1">
      <alignment horizontal="center" vertical="center"/>
    </xf>
    <xf numFmtId="177" fontId="1" fillId="13" borderId="8" xfId="0" applyNumberFormat="1" applyFont="1" applyFill="1" applyBorder="1" applyAlignment="1">
      <alignment horizontal="center" vertical="center"/>
    </xf>
    <xf numFmtId="177" fontId="1" fillId="13" borderId="19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0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0" fillId="0" borderId="0" xfId="0" applyNumberFormat="1" applyFont="1" applyFill="1" applyAlignment="1">
      <alignment horizontal="left" vertical="center"/>
    </xf>
    <xf numFmtId="49" fontId="1" fillId="13" borderId="19" xfId="0" applyNumberFormat="1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181" fontId="18" fillId="13" borderId="20" xfId="0" applyNumberFormat="1" applyFont="1" applyFill="1" applyBorder="1" applyAlignment="1">
      <alignment horizontal="center" vertical="center"/>
    </xf>
    <xf numFmtId="181" fontId="1" fillId="13" borderId="21" xfId="0" applyNumberFormat="1" applyFont="1" applyFill="1" applyBorder="1" applyAlignment="1">
      <alignment horizontal="center" vertical="center"/>
    </xf>
    <xf numFmtId="181" fontId="1" fillId="13" borderId="22" xfId="0" applyNumberFormat="1" applyFont="1" applyFill="1" applyBorder="1" applyAlignment="1">
      <alignment horizontal="center" vertical="center"/>
    </xf>
    <xf numFmtId="180" fontId="2" fillId="13" borderId="23" xfId="0" applyNumberFormat="1" applyFont="1" applyFill="1" applyBorder="1" applyAlignment="1">
      <alignment horizontal="center" vertical="center"/>
    </xf>
    <xf numFmtId="181" fontId="1" fillId="13" borderId="24" xfId="0" applyNumberFormat="1" applyFont="1" applyFill="1" applyBorder="1" applyAlignment="1">
      <alignment horizontal="center" vertical="center"/>
    </xf>
    <xf numFmtId="181" fontId="1" fillId="13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97155</xdr:colOff>
      <xdr:row>19</xdr:row>
      <xdr:rowOff>106045</xdr:rowOff>
    </xdr:from>
    <xdr:to>
      <xdr:col>10</xdr:col>
      <xdr:colOff>656590</xdr:colOff>
      <xdr:row>49</xdr:row>
      <xdr:rowOff>94615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3375" y="3350895"/>
          <a:ext cx="12297410" cy="4779645"/>
        </a:xfrm>
        <a:prstGeom prst="rect">
          <a:avLst/>
        </a:prstGeom>
        <a:solidFill>
          <a:schemeClr val="accent2"/>
        </a:solidFill>
      </xdr:spPr>
    </xdr:pic>
    <xdr:clientData/>
  </xdr:twoCellAnchor>
  <xdr:twoCellAnchor>
    <xdr:from>
      <xdr:col>12</xdr:col>
      <xdr:colOff>190500</xdr:colOff>
      <xdr:row>2</xdr:row>
      <xdr:rowOff>91109</xdr:rowOff>
    </xdr:from>
    <xdr:to>
      <xdr:col>12</xdr:col>
      <xdr:colOff>215348</xdr:colOff>
      <xdr:row>16</xdr:row>
      <xdr:rowOff>171450</xdr:rowOff>
    </xdr:to>
    <xdr:cxnSp>
      <xdr:nvCxnSpPr>
        <xdr:cNvPr id="10" name="直接连接符 9"/>
        <xdr:cNvCxnSpPr/>
      </xdr:nvCxnSpPr>
      <xdr:spPr>
        <a:xfrm flipH="1">
          <a:off x="14347825" y="414655"/>
          <a:ext cx="24765" cy="2506345"/>
        </a:xfrm>
        <a:prstGeom prst="line">
          <a:avLst/>
        </a:prstGeom>
        <a:ln w="19050">
          <a:solidFill>
            <a:srgbClr val="C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29819</xdr:colOff>
      <xdr:row>2</xdr:row>
      <xdr:rowOff>91109</xdr:rowOff>
    </xdr:from>
    <xdr:to>
      <xdr:col>12</xdr:col>
      <xdr:colOff>215348</xdr:colOff>
      <xdr:row>2</xdr:row>
      <xdr:rowOff>94007</xdr:rowOff>
    </xdr:to>
    <xdr:cxnSp>
      <xdr:nvCxnSpPr>
        <xdr:cNvPr id="11" name="直接连接符 10"/>
        <xdr:cNvCxnSpPr/>
      </xdr:nvCxnSpPr>
      <xdr:spPr>
        <a:xfrm flipV="1">
          <a:off x="14186535" y="414655"/>
          <a:ext cx="186055" cy="3175"/>
        </a:xfrm>
        <a:prstGeom prst="line">
          <a:avLst/>
        </a:prstGeom>
        <a:ln w="19050">
          <a:solidFill>
            <a:srgbClr val="C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18</xdr:row>
      <xdr:rowOff>18415</xdr:rowOff>
    </xdr:from>
    <xdr:to>
      <xdr:col>13</xdr:col>
      <xdr:colOff>208915</xdr:colOff>
      <xdr:row>44</xdr:row>
      <xdr:rowOff>142240</xdr:rowOff>
    </xdr:to>
    <xdr:sp>
      <xdr:nvSpPr>
        <xdr:cNvPr id="12" name="左大括号 11"/>
        <xdr:cNvSpPr/>
      </xdr:nvSpPr>
      <xdr:spPr>
        <a:xfrm>
          <a:off x="14559280" y="3101340"/>
          <a:ext cx="208915" cy="4305300"/>
        </a:xfrm>
        <a:prstGeom prst="leftBrace">
          <a:avLst/>
        </a:prstGeom>
        <a:ln w="19050">
          <a:solidFill>
            <a:srgbClr val="C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99"/>
  <sheetViews>
    <sheetView tabSelected="1" zoomScale="85" zoomScaleNormal="85" topLeftCell="A2" workbookViewId="0">
      <selection activeCell="L56" sqref="L56"/>
    </sheetView>
  </sheetViews>
  <sheetFormatPr defaultColWidth="9" defaultRowHeight="12"/>
  <cols>
    <col min="1" max="1" width="3.38181818181818" style="1" customWidth="1"/>
    <col min="2" max="2" width="31.1818181818182" style="2" customWidth="1"/>
    <col min="3" max="5" width="15.6272727272727" style="1" customWidth="1"/>
    <col min="6" max="6" width="19.0454545454545" style="1" customWidth="1"/>
    <col min="7" max="7" width="15.6272727272727" style="1" customWidth="1"/>
    <col min="8" max="8" width="24.0545454545455" style="1" customWidth="1"/>
    <col min="9" max="9" width="15.6272727272727" style="1" customWidth="1"/>
    <col min="10" max="12" width="15.6272727272727" style="5" customWidth="1"/>
    <col min="13" max="13" width="5.75454545454545" style="5" customWidth="1"/>
    <col min="14" max="14" width="4.25454545454545" style="5" customWidth="1"/>
    <col min="15" max="15" width="15.5181818181818" style="6" customWidth="1"/>
    <col min="16" max="16" width="15.7363636363636" style="5" customWidth="1"/>
    <col min="17" max="17" width="13.6636363636364" style="5" customWidth="1"/>
    <col min="18" max="29" width="4" style="5" customWidth="1"/>
    <col min="30" max="30" width="4" style="1" customWidth="1"/>
    <col min="31" max="31" width="6" style="1" customWidth="1"/>
    <col min="32" max="32" width="21.2545454545455" style="1" customWidth="1"/>
    <col min="33" max="33" width="22.8909090909091" style="4" customWidth="1"/>
    <col min="34" max="34" width="9.78181818181818" style="1" customWidth="1"/>
    <col min="35" max="36" width="11.7818181818182" style="1" customWidth="1"/>
    <col min="37" max="37" width="25.0727272727273" style="1" customWidth="1"/>
    <col min="38" max="38" width="12.3818181818182" style="1" customWidth="1"/>
    <col min="39" max="16384" width="9" style="1"/>
  </cols>
  <sheetData>
    <row r="1" s="1" customFormat="1" ht="12.75" spans="1:38">
      <c r="B1" s="7" t="s">
        <v>0</v>
      </c>
      <c r="C1" s="8" t="s">
        <v>1</v>
      </c>
      <c r="D1" s="8" t="s">
        <v>2</v>
      </c>
      <c r="E1" s="8"/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9" t="s">
        <v>8</v>
      </c>
      <c r="L1" s="10" t="s">
        <v>9</v>
      </c>
      <c r="M1" s="11"/>
      <c r="N1" s="5"/>
      <c r="O1" s="6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G1" s="4"/>
    </row>
    <row r="2" s="1" customFormat="1" ht="12.75" spans="1:38">
      <c r="B2" s="12" t="s">
        <v>10</v>
      </c>
      <c r="C2" s="13" t="s">
        <v>11</v>
      </c>
      <c r="D2" s="14" t="s">
        <v>12</v>
      </c>
      <c r="E2" s="15" t="s">
        <v>13</v>
      </c>
      <c r="F2" s="13" t="s">
        <v>14</v>
      </c>
      <c r="G2" s="13" t="s">
        <v>15</v>
      </c>
      <c r="H2" s="13" t="s">
        <v>16</v>
      </c>
      <c r="I2" s="13" t="s">
        <v>17</v>
      </c>
      <c r="J2" s="13" t="s">
        <v>18</v>
      </c>
      <c r="K2" s="13" t="s">
        <v>19</v>
      </c>
      <c r="L2" s="16" t="s">
        <v>20</v>
      </c>
      <c r="M2" s="2"/>
      <c r="N2" s="17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19"/>
      <c r="AL2" s="19"/>
    </row>
    <row r="3" s="1" customFormat="1" ht="13.5" spans="1:38">
      <c r="A3" s="2">
        <v>77</v>
      </c>
      <c r="B3" s="20">
        <v>25000</v>
      </c>
      <c r="C3" s="21">
        <v>115</v>
      </c>
      <c r="D3" s="22" t="s">
        <v>21</v>
      </c>
      <c r="E3" s="22"/>
      <c r="F3" s="23" t="s">
        <v>22</v>
      </c>
      <c r="G3" s="24">
        <v>0.3204</v>
      </c>
      <c r="H3" s="25">
        <v>-0.1602</v>
      </c>
      <c r="I3" s="26">
        <v>18</v>
      </c>
      <c r="J3" s="27">
        <f>G3/I3</f>
        <v>0.0178</v>
      </c>
      <c r="K3" s="28">
        <v>230</v>
      </c>
      <c r="L3" s="28">
        <v>550</v>
      </c>
      <c r="M3" s="4"/>
      <c r="N3" s="29"/>
      <c r="O3" s="30"/>
      <c r="P3" s="31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19"/>
      <c r="AK3" s="19"/>
      <c r="AL3" s="19"/>
    </row>
    <row r="4" s="2" customFormat="1" ht="14.25" customHeight="1" spans="1:38">
      <c r="A4" s="33" t="s">
        <v>23</v>
      </c>
      <c r="B4" s="34" t="s">
        <v>24</v>
      </c>
      <c r="C4" s="35" t="s">
        <v>25</v>
      </c>
      <c r="D4" s="35" t="s">
        <v>26</v>
      </c>
      <c r="E4" s="35"/>
      <c r="F4" s="35" t="s">
        <v>27</v>
      </c>
      <c r="G4" s="35" t="s">
        <v>28</v>
      </c>
      <c r="H4" s="36">
        <v>-0.1</v>
      </c>
      <c r="I4" s="35" t="s">
        <v>29</v>
      </c>
      <c r="J4" s="37">
        <v>0.0125</v>
      </c>
      <c r="K4" s="38"/>
      <c r="L4" s="34"/>
      <c r="N4" s="1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40"/>
      <c r="AD4" s="40"/>
      <c r="AE4" s="40"/>
      <c r="AF4" s="39"/>
      <c r="AG4" s="41"/>
      <c r="AH4" s="42"/>
      <c r="AI4" s="39"/>
      <c r="AJ4" s="39"/>
      <c r="AK4" s="43"/>
      <c r="AL4" s="43"/>
    </row>
    <row r="5" s="1" customFormat="1" spans="1:38">
      <c r="A5" s="33" t="s">
        <v>23</v>
      </c>
      <c r="B5" s="34">
        <v>50000</v>
      </c>
      <c r="C5" s="35">
        <v>110</v>
      </c>
      <c r="D5" s="35" t="s">
        <v>21</v>
      </c>
      <c r="E5" s="35"/>
      <c r="F5" s="35"/>
      <c r="G5" s="36">
        <v>0.1</v>
      </c>
      <c r="H5" s="36">
        <v>-0.1</v>
      </c>
      <c r="I5" s="35">
        <v>8</v>
      </c>
      <c r="J5" s="35">
        <f>G5/I5</f>
        <v>0.0125</v>
      </c>
      <c r="K5" s="44">
        <v>230</v>
      </c>
      <c r="L5" s="35">
        <v>550</v>
      </c>
      <c r="N5" s="19"/>
      <c r="O5" s="45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41"/>
      <c r="AJ5" s="41"/>
      <c r="AK5" s="43"/>
      <c r="AL5" s="43"/>
    </row>
    <row r="6" s="1" customFormat="1" spans="1:38">
      <c r="A6" s="33" t="s">
        <v>23</v>
      </c>
      <c r="B6" s="34">
        <v>80000</v>
      </c>
      <c r="C6" s="35">
        <v>24</v>
      </c>
      <c r="D6" s="35" t="s">
        <v>30</v>
      </c>
      <c r="E6" s="35"/>
      <c r="F6" s="35"/>
      <c r="G6" s="46" t="s">
        <v>31</v>
      </c>
      <c r="H6" s="36">
        <v>-0.15</v>
      </c>
      <c r="I6" s="46" t="s">
        <v>32</v>
      </c>
      <c r="J6" s="35">
        <v>0.0125</v>
      </c>
      <c r="K6" s="44"/>
      <c r="L6" s="35"/>
      <c r="N6" s="19"/>
      <c r="O6" s="47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</row>
    <row r="7" s="3" customFormat="1" ht="12.75" spans="1:38">
      <c r="A7" s="33"/>
      <c r="B7" s="49"/>
      <c r="G7" s="50"/>
      <c r="H7" s="51"/>
      <c r="I7" s="50"/>
      <c r="K7" s="52"/>
      <c r="N7" s="53"/>
      <c r="O7" s="47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</row>
    <row r="8" s="1" customFormat="1" ht="14.75" spans="1:38">
      <c r="B8" s="2"/>
      <c r="H8" s="54" t="s">
        <v>33</v>
      </c>
      <c r="I8"/>
      <c r="J8"/>
      <c r="K8"/>
      <c r="L8" s="2"/>
      <c r="M8" s="5"/>
      <c r="N8" s="53"/>
      <c r="O8" s="47"/>
      <c r="P8" s="55"/>
      <c r="Q8" s="55"/>
      <c r="R8" s="55"/>
      <c r="S8" s="56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</row>
    <row r="9" s="1" customFormat="1" ht="14.75" spans="1:38">
      <c r="B9" s="57" t="s">
        <v>34</v>
      </c>
      <c r="C9" s="57" t="s">
        <v>35</v>
      </c>
      <c r="D9" s="57" t="s">
        <v>36</v>
      </c>
      <c r="E9" s="57" t="s">
        <v>37</v>
      </c>
      <c r="F9" s="57" t="s">
        <v>38</v>
      </c>
      <c r="G9" s="57"/>
      <c r="H9" s="58" t="s">
        <v>39</v>
      </c>
      <c r="I9"/>
      <c r="J9"/>
      <c r="K9"/>
      <c r="L9" s="4"/>
      <c r="M9" s="5"/>
      <c r="N9" s="53"/>
      <c r="O9" s="47"/>
      <c r="P9" s="55"/>
      <c r="Q9" s="55"/>
      <c r="R9" s="55"/>
      <c r="S9" s="56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48"/>
    </row>
    <row r="10" s="1" customFormat="1" ht="14.75" spans="1:38">
      <c r="B10" s="59" t="s">
        <v>40</v>
      </c>
      <c r="C10" s="60">
        <f>B3/(C3*(1+H3))</f>
        <v>258.860805367738</v>
      </c>
      <c r="D10" s="60">
        <f>B3/(C3*(1+H3)*3)</f>
        <v>86.2869351225792</v>
      </c>
      <c r="E10" s="60">
        <f>B3/(C3*(1+H3)*1.732)</f>
        <v>149.45773981971</v>
      </c>
      <c r="F10" s="60">
        <f>B3/(C3*(1+H3))</f>
        <v>258.860805367738</v>
      </c>
      <c r="G10" s="60"/>
      <c r="H10" s="61"/>
      <c r="I10"/>
      <c r="J10"/>
      <c r="K10"/>
      <c r="L10" s="4"/>
      <c r="M10" s="5"/>
      <c r="N10" s="53"/>
      <c r="O10" s="47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</row>
    <row r="11" s="1" customFormat="1" ht="14" spans="1:38">
      <c r="B11" s="62" t="s">
        <v>41</v>
      </c>
      <c r="C11" s="63">
        <f>B3/C3</f>
        <v>217.391304347826</v>
      </c>
      <c r="D11" s="63">
        <f>B3/(C3*3)</f>
        <v>72.463768115942</v>
      </c>
      <c r="E11" s="63">
        <f>B3/(C3*1.732)</f>
        <v>125.514609900592</v>
      </c>
      <c r="F11" s="63">
        <f>B3/C3</f>
        <v>217.391304347826</v>
      </c>
      <c r="G11" s="63"/>
      <c r="H11" s="64"/>
      <c r="I11"/>
      <c r="J11"/>
      <c r="K11"/>
      <c r="L11" s="4"/>
      <c r="M11" s="5"/>
      <c r="N11" s="53"/>
      <c r="O11" s="47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48"/>
    </row>
    <row r="12" s="1" customFormat="1" ht="14.25" customHeight="1" spans="1:38">
      <c r="B12" s="65" t="s">
        <v>42</v>
      </c>
      <c r="C12" s="66" t="s">
        <v>43</v>
      </c>
      <c r="D12" s="66" t="s">
        <v>44</v>
      </c>
      <c r="E12" s="66" t="s">
        <v>25</v>
      </c>
      <c r="F12" s="66" t="s">
        <v>45</v>
      </c>
      <c r="G12" s="66" t="s">
        <v>46</v>
      </c>
      <c r="H12" s="67" t="s">
        <v>47</v>
      </c>
      <c r="I12"/>
      <c r="J12"/>
      <c r="K12"/>
      <c r="L12" s="4"/>
      <c r="M12" s="5"/>
      <c r="N12" s="68"/>
      <c r="O12" s="47"/>
      <c r="P12" s="55"/>
      <c r="Q12" s="55"/>
      <c r="R12" s="55"/>
      <c r="S12" s="55"/>
      <c r="T12" s="69"/>
      <c r="U12" s="55"/>
      <c r="V12" s="69"/>
      <c r="W12" s="55"/>
      <c r="X12" s="55"/>
      <c r="Y12" s="55"/>
      <c r="Z12" s="55"/>
      <c r="AA12" s="70"/>
      <c r="AB12" s="70"/>
      <c r="AC12" s="70"/>
      <c r="AD12" s="70"/>
      <c r="AE12" s="55"/>
      <c r="AF12" s="55"/>
      <c r="AG12" s="55"/>
      <c r="AH12" s="55"/>
      <c r="AI12" s="55"/>
      <c r="AJ12" s="55"/>
      <c r="AK12" s="55"/>
      <c r="AL12" s="55"/>
    </row>
    <row r="13" s="1" customFormat="1" ht="13.5" customHeight="1" spans="1:38">
      <c r="B13" s="65" t="s">
        <v>48</v>
      </c>
      <c r="C13" s="66">
        <v>40.5</v>
      </c>
      <c r="D13" s="66">
        <v>72.5</v>
      </c>
      <c r="E13" s="66">
        <v>126</v>
      </c>
      <c r="F13" s="66">
        <v>145</v>
      </c>
      <c r="G13" s="66">
        <v>170</v>
      </c>
      <c r="H13" s="67">
        <v>252</v>
      </c>
      <c r="I13" s="71"/>
      <c r="J13" s="71"/>
      <c r="K13" s="71"/>
      <c r="M13" s="5"/>
      <c r="N13" s="68"/>
      <c r="O13" s="47"/>
      <c r="P13" s="55"/>
      <c r="Q13" s="55"/>
      <c r="R13" s="55"/>
      <c r="S13" s="55"/>
      <c r="T13" s="69"/>
      <c r="U13" s="55"/>
      <c r="V13" s="69"/>
      <c r="W13" s="55"/>
      <c r="X13" s="55"/>
      <c r="Y13" s="55"/>
      <c r="Z13" s="55"/>
      <c r="AA13" s="70"/>
      <c r="AB13" s="70"/>
      <c r="AC13" s="70"/>
      <c r="AD13" s="70"/>
      <c r="AE13" s="55"/>
      <c r="AF13" s="55"/>
      <c r="AG13" s="55"/>
      <c r="AH13" s="55"/>
      <c r="AI13" s="55"/>
      <c r="AJ13" s="55"/>
      <c r="AK13" s="55"/>
      <c r="AL13" s="48"/>
    </row>
    <row r="14" s="1" customFormat="1" ht="13.5" customHeight="1" spans="1:38">
      <c r="B14" s="72" t="s">
        <v>49</v>
      </c>
      <c r="C14" s="66" t="s">
        <v>50</v>
      </c>
      <c r="D14" s="66" t="s">
        <v>51</v>
      </c>
      <c r="E14" s="66" t="s">
        <v>52</v>
      </c>
      <c r="F14" s="66"/>
      <c r="G14" s="66" t="s">
        <v>53</v>
      </c>
      <c r="H14" s="67" t="s">
        <v>54</v>
      </c>
      <c r="I14" s="71"/>
      <c r="J14" s="71"/>
      <c r="K14" s="71"/>
      <c r="M14" s="5"/>
      <c r="N14" s="53"/>
      <c r="O14" s="47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</row>
    <row r="15" s="1" customFormat="1" ht="13.5" customHeight="1" spans="1:38">
      <c r="B15" s="59" t="s">
        <v>55</v>
      </c>
      <c r="C15" s="73">
        <f>C3*1000*J3</f>
        <v>2047</v>
      </c>
      <c r="D15" s="73">
        <f>(C3*1000*J3)</f>
        <v>2047</v>
      </c>
      <c r="E15" s="73">
        <f>(C3*J3*1000)/1.732</f>
        <v>1181.87066974596</v>
      </c>
      <c r="F15" s="66"/>
      <c r="G15" s="66"/>
      <c r="H15" s="64"/>
      <c r="I15" s="71"/>
      <c r="J15" s="71"/>
      <c r="K15" s="71"/>
      <c r="M15" s="5"/>
      <c r="N15" s="53"/>
      <c r="O15" s="47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48"/>
    </row>
    <row r="16" s="1" customFormat="1" ht="13.5" customHeight="1" spans="1:38">
      <c r="B16" s="74" t="s">
        <v>10</v>
      </c>
      <c r="C16" s="63">
        <f>C15*C11/1000</f>
        <v>445</v>
      </c>
      <c r="D16" s="63">
        <f>D15*D11/1000</f>
        <v>148.333333333333</v>
      </c>
      <c r="E16" s="63">
        <f>E15*E11/1000</f>
        <v>148.342036066116</v>
      </c>
      <c r="F16" s="75"/>
      <c r="G16" s="75"/>
      <c r="H16" s="64"/>
      <c r="I16" s="71"/>
      <c r="J16" s="71"/>
      <c r="K16" s="71"/>
      <c r="M16" s="5"/>
      <c r="N16" s="53"/>
      <c r="O16" s="47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48"/>
    </row>
    <row r="17" s="1" customFormat="1" ht="13.5" customHeight="1" spans="2:38">
      <c r="B17" s="59" t="s">
        <v>56</v>
      </c>
      <c r="C17" s="73">
        <f>C10*C15/1000</f>
        <v>529.888068587759</v>
      </c>
      <c r="D17" s="73">
        <f>D10*D15/1000</f>
        <v>176.62935619592</v>
      </c>
      <c r="E17" s="73">
        <f>E10*E15/1000</f>
        <v>176.639719059438</v>
      </c>
      <c r="F17" s="76"/>
      <c r="G17" s="76"/>
      <c r="H17" s="64"/>
      <c r="I17" s="71"/>
      <c r="J17" s="71"/>
      <c r="K17" s="71"/>
      <c r="M17" s="5"/>
      <c r="N17" s="53"/>
      <c r="O17" s="47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48"/>
    </row>
    <row r="18" s="1" customFormat="1" ht="12.75" customHeight="1" spans="2:38">
      <c r="B18" s="77"/>
      <c r="C18" s="78"/>
      <c r="D18" s="78"/>
      <c r="F18" s="78"/>
      <c r="G18" s="4"/>
      <c r="H18" s="4"/>
      <c r="J18" s="5"/>
      <c r="K18" s="5"/>
      <c r="L18" s="5"/>
      <c r="M18" s="5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 s="1" customFormat="1" ht="12.75" customHeight="1" spans="2:38">
      <c r="B19" s="2"/>
      <c r="G19" s="79"/>
      <c r="J19" s="5"/>
      <c r="K19" s="5"/>
      <c r="L19" s="5"/>
      <c r="M19" s="5"/>
      <c r="N19" s="5"/>
      <c r="O19" s="80" t="s">
        <v>57</v>
      </c>
      <c r="P19" s="81"/>
      <c r="Q19" s="81"/>
      <c r="R19" s="5"/>
      <c r="S19" s="5"/>
      <c r="T19" s="5"/>
      <c r="U19" s="5"/>
      <c r="V19" s="5"/>
      <c r="W19" s="5"/>
      <c r="Z19" s="4"/>
    </row>
    <row r="20" s="1" customFormat="1" ht="12.75" customHeight="1" spans="2:38">
      <c r="B20"/>
      <c r="C20"/>
      <c r="D20"/>
      <c r="E20"/>
      <c r="F20"/>
      <c r="G20"/>
      <c r="H20"/>
      <c r="I20"/>
      <c r="J20"/>
      <c r="K20"/>
      <c r="L20" s="5"/>
      <c r="M20" s="5"/>
      <c r="N20" s="5"/>
      <c r="O20" s="82" t="s">
        <v>58</v>
      </c>
      <c r="P20" s="83" t="s">
        <v>59</v>
      </c>
      <c r="Q20" s="84" t="s">
        <v>60</v>
      </c>
      <c r="R20" s="85"/>
      <c r="S20" s="85"/>
      <c r="T20" s="86" t="s">
        <v>61</v>
      </c>
      <c r="U20" s="87"/>
      <c r="V20" s="87"/>
      <c r="W20" s="88"/>
      <c r="X20" s="88"/>
      <c r="Y20" s="89" t="s">
        <v>62</v>
      </c>
      <c r="Z20" s="88"/>
      <c r="AA20" s="88"/>
      <c r="AB20" s="88"/>
      <c r="AC20" s="88"/>
      <c r="AD20" s="88"/>
      <c r="AE20" s="90"/>
      <c r="AF20" s="90"/>
    </row>
    <row r="21" s="1" customFormat="1" ht="12.75" customHeight="1" spans="2:38">
      <c r="B21"/>
      <c r="C21"/>
      <c r="D21"/>
      <c r="E21"/>
      <c r="F21"/>
      <c r="G21"/>
      <c r="H21"/>
      <c r="I21"/>
      <c r="J21"/>
      <c r="K21"/>
      <c r="L21" s="5"/>
      <c r="M21" s="5"/>
      <c r="N21" s="5"/>
      <c r="O21" s="91">
        <v>40.5</v>
      </c>
      <c r="P21" s="92">
        <v>85</v>
      </c>
      <c r="Q21" s="93">
        <v>225</v>
      </c>
      <c r="R21" s="94">
        <f t="shared" ref="R21:R27" si="0">P21/O21</f>
        <v>2.09876543209877</v>
      </c>
      <c r="S21" s="94">
        <f t="shared" ref="S21:S27" si="1">Q21/O21</f>
        <v>5.55555555555556</v>
      </c>
      <c r="T21" s="95" t="s">
        <v>63</v>
      </c>
      <c r="U21" s="96"/>
      <c r="V21" s="96"/>
      <c r="W21" s="97" t="s">
        <v>64</v>
      </c>
      <c r="X21" s="97" t="s">
        <v>65</v>
      </c>
      <c r="Y21" s="97"/>
      <c r="Z21" s="97"/>
      <c r="AA21" s="98"/>
      <c r="AB21" s="98"/>
      <c r="AC21" s="99"/>
      <c r="AD21" s="98"/>
    </row>
    <row r="22" s="1" customFormat="1" ht="12.75" customHeight="1" spans="2:38">
      <c r="B22"/>
      <c r="C22"/>
      <c r="D22"/>
      <c r="E22"/>
      <c r="F22"/>
      <c r="G22"/>
      <c r="H22"/>
      <c r="I22"/>
      <c r="J22"/>
      <c r="K22"/>
      <c r="L22" s="5"/>
      <c r="M22" s="100" t="s">
        <v>66</v>
      </c>
      <c r="N22" s="5" t="s">
        <v>67</v>
      </c>
      <c r="O22" s="91">
        <v>72.5</v>
      </c>
      <c r="P22" s="92">
        <v>140</v>
      </c>
      <c r="Q22" s="93">
        <v>350</v>
      </c>
      <c r="R22" s="94">
        <f t="shared" si="0"/>
        <v>1.93103448275862</v>
      </c>
      <c r="S22" s="94">
        <f t="shared" si="1"/>
        <v>4.82758620689655</v>
      </c>
      <c r="T22" s="95" t="s">
        <v>63</v>
      </c>
      <c r="U22" s="96"/>
      <c r="V22" s="96"/>
      <c r="W22" s="97" t="s">
        <v>64</v>
      </c>
      <c r="X22" s="97" t="s">
        <v>65</v>
      </c>
      <c r="Y22" s="97" t="s">
        <v>68</v>
      </c>
      <c r="Z22" s="97" t="s">
        <v>69</v>
      </c>
      <c r="AA22" s="97" t="s">
        <v>70</v>
      </c>
      <c r="AB22" s="97" t="s">
        <v>71</v>
      </c>
      <c r="AC22" s="97" t="s">
        <v>72</v>
      </c>
      <c r="AD22" s="98" t="s">
        <v>73</v>
      </c>
    </row>
    <row r="23" s="1" customFormat="1" ht="12.75" customHeight="1" spans="2:38">
      <c r="B23"/>
      <c r="C23"/>
      <c r="D23"/>
      <c r="E23"/>
      <c r="F23"/>
      <c r="G23"/>
      <c r="H23"/>
      <c r="I23"/>
      <c r="J23"/>
      <c r="K23"/>
      <c r="L23" s="5"/>
      <c r="M23" s="100" t="s">
        <v>74</v>
      </c>
      <c r="N23" s="5" t="s">
        <v>75</v>
      </c>
      <c r="O23" s="101">
        <v>126</v>
      </c>
      <c r="P23" s="92">
        <v>230</v>
      </c>
      <c r="Q23" s="93">
        <v>550</v>
      </c>
      <c r="R23" s="94">
        <f t="shared" si="0"/>
        <v>1.82539682539683</v>
      </c>
      <c r="S23" s="94">
        <f t="shared" si="1"/>
        <v>4.36507936507936</v>
      </c>
      <c r="T23" s="95"/>
      <c r="U23" s="96"/>
      <c r="V23" s="96"/>
      <c r="W23" s="97"/>
      <c r="X23" s="97" t="s">
        <v>65</v>
      </c>
      <c r="Y23" s="97" t="s">
        <v>68</v>
      </c>
      <c r="Z23" s="97" t="s">
        <v>69</v>
      </c>
      <c r="AA23" s="97" t="s">
        <v>70</v>
      </c>
      <c r="AB23" s="97" t="s">
        <v>71</v>
      </c>
      <c r="AC23" s="97" t="s">
        <v>72</v>
      </c>
      <c r="AD23" s="98" t="s">
        <v>73</v>
      </c>
    </row>
    <row r="24" s="1" customFormat="1" ht="12.75" customHeight="1" spans="2:38">
      <c r="B24" s="2"/>
      <c r="J24" s="5"/>
      <c r="K24" s="5"/>
      <c r="L24" s="5"/>
      <c r="M24" s="5"/>
      <c r="N24" s="5"/>
      <c r="O24" s="101">
        <v>145</v>
      </c>
      <c r="P24" s="92">
        <v>275</v>
      </c>
      <c r="Q24" s="93">
        <v>650</v>
      </c>
      <c r="R24" s="94">
        <f t="shared" si="0"/>
        <v>1.89655172413793</v>
      </c>
      <c r="S24" s="94">
        <f t="shared" si="1"/>
        <v>4.48275862068965</v>
      </c>
      <c r="T24" s="95"/>
      <c r="U24" s="96"/>
      <c r="V24" s="96"/>
      <c r="W24" s="97"/>
      <c r="X24" s="97" t="s">
        <v>65</v>
      </c>
      <c r="Y24" s="97"/>
      <c r="Z24" s="97"/>
      <c r="AA24" s="97"/>
      <c r="AB24" s="97"/>
      <c r="AC24" s="97"/>
      <c r="AD24" s="98"/>
    </row>
    <row r="25" s="1" customFormat="1" ht="12.75" customHeight="1" spans="2:38">
      <c r="B25" s="2"/>
      <c r="J25" s="5"/>
      <c r="K25" s="5"/>
      <c r="L25" s="5"/>
      <c r="M25" s="100" t="s">
        <v>76</v>
      </c>
      <c r="N25" s="5" t="s">
        <v>30</v>
      </c>
      <c r="O25" s="101">
        <v>170</v>
      </c>
      <c r="P25" s="92">
        <v>325</v>
      </c>
      <c r="Q25" s="93">
        <v>750</v>
      </c>
      <c r="R25" s="94">
        <f t="shared" si="0"/>
        <v>1.91176470588235</v>
      </c>
      <c r="S25" s="94">
        <f t="shared" si="1"/>
        <v>4.41176470588235</v>
      </c>
      <c r="T25" s="95"/>
      <c r="U25" s="96"/>
      <c r="V25" s="96"/>
      <c r="W25" s="97"/>
      <c r="X25" s="97"/>
      <c r="Y25" s="97" t="s">
        <v>68</v>
      </c>
      <c r="Z25" s="97" t="s">
        <v>69</v>
      </c>
      <c r="AA25" s="97" t="s">
        <v>70</v>
      </c>
      <c r="AB25" s="97" t="s">
        <v>71</v>
      </c>
      <c r="AC25" s="97" t="s">
        <v>72</v>
      </c>
      <c r="AD25" s="98" t="s">
        <v>73</v>
      </c>
    </row>
    <row r="26" s="1" customFormat="1" ht="12.75" customHeight="1" spans="2:38">
      <c r="B26" s="2"/>
      <c r="J26" s="5"/>
      <c r="K26" s="5"/>
      <c r="L26" s="5"/>
      <c r="M26" s="5"/>
      <c r="N26" s="5" t="s">
        <v>77</v>
      </c>
      <c r="O26" s="102">
        <v>252</v>
      </c>
      <c r="P26" s="92">
        <v>460</v>
      </c>
      <c r="Q26" s="93">
        <v>1050</v>
      </c>
      <c r="R26" s="94">
        <f t="shared" si="0"/>
        <v>1.82539682539683</v>
      </c>
      <c r="S26" s="94">
        <f t="shared" si="1"/>
        <v>4.16666666666667</v>
      </c>
      <c r="T26" s="95"/>
      <c r="U26" s="96"/>
      <c r="V26" s="96"/>
      <c r="W26" s="97"/>
      <c r="X26" s="97"/>
      <c r="Y26" s="97" t="s">
        <v>68</v>
      </c>
      <c r="Z26" s="97" t="s">
        <v>69</v>
      </c>
      <c r="AA26" s="97" t="s">
        <v>70</v>
      </c>
      <c r="AB26" s="97" t="s">
        <v>71</v>
      </c>
      <c r="AC26" s="97" t="s">
        <v>72</v>
      </c>
      <c r="AD26" s="98" t="s">
        <v>73</v>
      </c>
      <c r="AJ26" s="4"/>
      <c r="AK26" s="4"/>
    </row>
    <row r="27" s="1" customFormat="1" ht="12.75" customHeight="1" spans="2:38">
      <c r="B27" s="2"/>
      <c r="J27" s="5"/>
      <c r="K27" s="5"/>
      <c r="L27" s="5"/>
      <c r="M27" s="5"/>
      <c r="N27" s="5" t="s">
        <v>77</v>
      </c>
      <c r="O27" s="103">
        <v>300</v>
      </c>
      <c r="P27" s="104">
        <v>480</v>
      </c>
      <c r="Q27" s="105">
        <v>1100</v>
      </c>
      <c r="R27" s="94">
        <f t="shared" si="0"/>
        <v>1.6</v>
      </c>
      <c r="S27" s="94">
        <f t="shared" si="1"/>
        <v>3.66666666666667</v>
      </c>
      <c r="T27" s="95"/>
      <c r="U27" s="96"/>
      <c r="V27" s="96"/>
      <c r="W27" s="97"/>
      <c r="X27" s="97"/>
      <c r="Y27" s="97"/>
      <c r="Z27" s="97"/>
      <c r="AA27" s="97"/>
      <c r="AB27" s="97" t="s">
        <v>71</v>
      </c>
      <c r="AC27" s="97" t="s">
        <v>72</v>
      </c>
      <c r="AD27" s="97"/>
      <c r="AE27" s="5"/>
      <c r="AF27" s="5"/>
      <c r="AG27" s="5"/>
      <c r="AJ27" s="4"/>
      <c r="AK27" s="4"/>
    </row>
    <row r="28" s="1" customFormat="1" ht="12.75" customHeight="1" spans="2:38">
      <c r="B28" s="2"/>
      <c r="J28" s="5"/>
      <c r="K28" s="5"/>
      <c r="L28" s="5"/>
      <c r="M28" s="5"/>
      <c r="N28" s="5" t="s">
        <v>78</v>
      </c>
      <c r="O28" s="103">
        <v>363</v>
      </c>
      <c r="P28" s="104">
        <v>510</v>
      </c>
      <c r="Q28" s="105">
        <v>1175</v>
      </c>
      <c r="R28" s="94"/>
      <c r="S28" s="94"/>
      <c r="T28" s="95"/>
      <c r="U28" s="96"/>
      <c r="V28" s="96"/>
      <c r="W28" s="97"/>
      <c r="X28" s="97"/>
      <c r="Y28" s="97"/>
      <c r="Z28" s="97"/>
      <c r="AA28" s="97"/>
      <c r="AB28" s="97" t="s">
        <v>71</v>
      </c>
      <c r="AC28" s="97" t="s">
        <v>72</v>
      </c>
      <c r="AD28" s="97"/>
      <c r="AE28" s="5"/>
      <c r="AF28" s="5"/>
      <c r="AG28" s="5"/>
      <c r="AJ28" s="4"/>
      <c r="AK28" s="4"/>
    </row>
    <row r="29" s="1" customFormat="1" ht="12.75" customHeight="1" spans="2:38">
      <c r="B29" s="2"/>
      <c r="J29" s="5"/>
      <c r="K29" s="5"/>
      <c r="L29" s="5"/>
      <c r="M29" s="5"/>
      <c r="N29" s="5"/>
      <c r="O29" s="103"/>
      <c r="P29" s="104"/>
      <c r="Q29" s="105"/>
      <c r="R29" s="94"/>
      <c r="S29" s="94"/>
      <c r="T29" s="95"/>
      <c r="U29" s="96"/>
      <c r="V29" s="96"/>
      <c r="W29" s="97"/>
      <c r="X29" s="97"/>
      <c r="Y29" s="97"/>
      <c r="Z29" s="97"/>
      <c r="AA29" s="97"/>
      <c r="AB29" s="97"/>
      <c r="AC29" s="97"/>
      <c r="AD29" s="97"/>
      <c r="AE29" s="5"/>
      <c r="AF29" s="5"/>
      <c r="AI29" s="4"/>
    </row>
    <row r="30" s="1" customFormat="1" ht="12.75" customHeight="1" spans="2:38">
      <c r="B30" s="2"/>
      <c r="J30" s="5"/>
      <c r="K30" s="5"/>
      <c r="L30" s="5"/>
      <c r="M30" s="5"/>
      <c r="N30" s="100" t="s">
        <v>79</v>
      </c>
      <c r="O30" s="102">
        <v>12</v>
      </c>
      <c r="P30" s="92">
        <v>35</v>
      </c>
      <c r="Q30" s="93">
        <v>85</v>
      </c>
      <c r="R30" s="94">
        <f t="shared" ref="R30:R33" si="2">P30/O30</f>
        <v>2.91666666666667</v>
      </c>
      <c r="S30" s="94">
        <f t="shared" ref="S30:S33" si="3">Q30/O30</f>
        <v>7.08333333333333</v>
      </c>
      <c r="T30" s="95" t="s">
        <v>80</v>
      </c>
      <c r="U30" s="96"/>
      <c r="V30" s="96"/>
      <c r="W30" s="97"/>
      <c r="X30" s="97"/>
      <c r="Y30" s="97"/>
      <c r="Z30" s="97"/>
      <c r="AA30" s="97"/>
      <c r="AB30" s="97"/>
      <c r="AC30" s="97"/>
      <c r="AD30" s="97"/>
      <c r="AE30" s="5"/>
      <c r="AF30" s="5"/>
      <c r="AI30" s="4"/>
    </row>
    <row r="31" s="1" customFormat="1" ht="12.75" customHeight="1" spans="2:38">
      <c r="B31" s="2"/>
      <c r="J31" s="5"/>
      <c r="K31" s="5"/>
      <c r="L31" s="5"/>
      <c r="M31" s="5"/>
      <c r="N31" s="100" t="s">
        <v>79</v>
      </c>
      <c r="O31" s="91">
        <v>72.5</v>
      </c>
      <c r="P31" s="92">
        <v>145</v>
      </c>
      <c r="Q31" s="93">
        <v>350</v>
      </c>
      <c r="R31" s="94">
        <f t="shared" si="2"/>
        <v>2</v>
      </c>
      <c r="S31" s="94">
        <f t="shared" si="3"/>
        <v>4.82758620689655</v>
      </c>
      <c r="T31" s="95" t="s">
        <v>81</v>
      </c>
      <c r="U31" s="96"/>
      <c r="V31" s="96"/>
      <c r="W31" s="97"/>
      <c r="X31" s="97"/>
      <c r="Y31" s="97"/>
      <c r="Z31" s="97"/>
      <c r="AA31" s="97"/>
      <c r="AB31" s="97"/>
      <c r="AC31" s="97"/>
      <c r="AD31" s="97"/>
      <c r="AE31" s="5"/>
      <c r="AF31" s="5"/>
      <c r="AI31" s="4"/>
    </row>
    <row r="32" s="1" customFormat="1" ht="12.75" customHeight="1" spans="2:38">
      <c r="B32" s="2"/>
      <c r="J32" s="5"/>
      <c r="K32" s="5"/>
      <c r="L32" s="5"/>
      <c r="M32" s="5"/>
      <c r="N32" s="5"/>
      <c r="O32" s="102"/>
      <c r="P32" s="92"/>
      <c r="Q32" s="93"/>
      <c r="R32" s="94"/>
      <c r="S32" s="94"/>
      <c r="T32" s="95"/>
      <c r="U32" s="96"/>
      <c r="V32" s="96"/>
      <c r="W32" s="97"/>
      <c r="X32" s="97"/>
      <c r="Y32" s="97"/>
      <c r="Z32" s="97"/>
      <c r="AA32" s="97"/>
      <c r="AB32" s="97"/>
      <c r="AC32" s="97"/>
      <c r="AD32" s="97"/>
      <c r="AE32" s="5"/>
      <c r="AF32" s="5"/>
      <c r="AI32" s="4"/>
    </row>
    <row r="33" s="1" customFormat="1" ht="12.75" customHeight="1" spans="2:35">
      <c r="B33" s="2"/>
      <c r="J33" s="5"/>
      <c r="K33" s="5"/>
      <c r="L33" s="5"/>
      <c r="M33" s="5"/>
      <c r="N33" s="5"/>
      <c r="O33" s="91">
        <v>17.5</v>
      </c>
      <c r="P33" s="92">
        <v>45</v>
      </c>
      <c r="Q33" s="93">
        <v>105</v>
      </c>
      <c r="R33" s="94">
        <f t="shared" si="2"/>
        <v>2.57142857142857</v>
      </c>
      <c r="S33" s="94">
        <f t="shared" si="3"/>
        <v>6</v>
      </c>
      <c r="T33" s="95" t="s">
        <v>82</v>
      </c>
      <c r="U33" s="96"/>
      <c r="V33" s="96"/>
      <c r="W33" s="97"/>
      <c r="X33" s="97"/>
      <c r="Y33" s="97"/>
      <c r="Z33" s="97"/>
      <c r="AA33" s="97"/>
      <c r="AB33" s="97"/>
      <c r="AC33" s="97"/>
      <c r="AD33" s="97"/>
      <c r="AE33" s="5"/>
      <c r="AF33" s="5"/>
      <c r="AI33" s="4"/>
    </row>
    <row r="34" s="1" customFormat="1" ht="12.75" customHeight="1" spans="2:35">
      <c r="B34" s="2"/>
      <c r="J34" s="5"/>
      <c r="K34" s="5"/>
      <c r="L34" s="5"/>
      <c r="M34" s="5"/>
      <c r="N34" s="5"/>
      <c r="O34" s="91">
        <v>35</v>
      </c>
      <c r="P34" s="92">
        <v>95</v>
      </c>
      <c r="Q34" s="93">
        <v>250</v>
      </c>
      <c r="R34" s="94"/>
      <c r="S34" s="94"/>
      <c r="T34" s="95"/>
      <c r="U34" s="96" t="s">
        <v>83</v>
      </c>
      <c r="V34" s="96"/>
      <c r="W34" s="97"/>
      <c r="X34" s="97"/>
      <c r="Y34" s="96" t="s">
        <v>83</v>
      </c>
      <c r="Z34" s="97"/>
      <c r="AA34" s="97"/>
      <c r="AB34" s="97"/>
      <c r="AC34" s="97"/>
      <c r="AD34" s="97"/>
      <c r="AE34" s="5"/>
      <c r="AF34" s="5"/>
      <c r="AI34" s="4"/>
    </row>
    <row r="35" s="1" customFormat="1" ht="12.75" customHeight="1" spans="2:35">
      <c r="B35" s="2"/>
      <c r="J35" s="5"/>
      <c r="K35" s="5"/>
      <c r="L35" s="5"/>
      <c r="M35" s="5"/>
      <c r="N35" s="5"/>
      <c r="O35" s="91">
        <v>40.5</v>
      </c>
      <c r="P35" s="92">
        <v>90</v>
      </c>
      <c r="Q35" s="93">
        <v>250</v>
      </c>
      <c r="R35" s="94">
        <f t="shared" ref="R35:R43" si="4">P35/O35</f>
        <v>2.22222222222222</v>
      </c>
      <c r="S35" s="94">
        <f t="shared" ref="S35:S43" si="5">Q35/O35</f>
        <v>6.17283950617284</v>
      </c>
      <c r="T35" s="95" t="s">
        <v>82</v>
      </c>
      <c r="U35" s="96"/>
      <c r="V35" s="96"/>
      <c r="W35" s="96"/>
      <c r="X35" s="96"/>
      <c r="Y35" s="96"/>
      <c r="Z35" s="96"/>
      <c r="AA35" s="97"/>
      <c r="AB35" s="97"/>
      <c r="AC35" s="97"/>
      <c r="AD35" s="97"/>
      <c r="AE35" s="5"/>
      <c r="AF35" s="5"/>
      <c r="AI35" s="4"/>
    </row>
    <row r="36" s="1" customFormat="1" ht="12.75" customHeight="1" spans="2:35">
      <c r="B36" s="2"/>
      <c r="J36" s="5"/>
      <c r="K36" s="5"/>
      <c r="L36" s="5"/>
      <c r="M36" s="5"/>
      <c r="N36" s="5"/>
      <c r="O36" s="91">
        <v>69</v>
      </c>
      <c r="P36" s="92">
        <v>140</v>
      </c>
      <c r="Q36" s="93">
        <v>400</v>
      </c>
      <c r="R36" s="94"/>
      <c r="S36" s="94"/>
      <c r="T36" s="95"/>
      <c r="U36" s="96" t="s">
        <v>83</v>
      </c>
      <c r="V36" s="96"/>
      <c r="W36" s="96"/>
      <c r="X36" s="96"/>
      <c r="Y36" s="96" t="s">
        <v>83</v>
      </c>
      <c r="Z36" s="96"/>
      <c r="AA36" s="97"/>
      <c r="AB36" s="97"/>
      <c r="AC36" s="97"/>
      <c r="AD36" s="97"/>
      <c r="AE36" s="5"/>
      <c r="AF36" s="5"/>
      <c r="AI36" s="4"/>
    </row>
    <row r="37" s="1" customFormat="1" ht="12.75" customHeight="1" spans="2:35">
      <c r="B37" s="2"/>
      <c r="J37" s="5"/>
      <c r="K37" s="5"/>
      <c r="L37" s="5"/>
      <c r="M37" s="5"/>
      <c r="N37" s="5"/>
      <c r="O37" s="91">
        <v>72.5</v>
      </c>
      <c r="P37" s="92">
        <v>140</v>
      </c>
      <c r="Q37" s="93">
        <v>350</v>
      </c>
      <c r="R37" s="94">
        <f t="shared" si="4"/>
        <v>1.93103448275862</v>
      </c>
      <c r="S37" s="94">
        <f t="shared" si="5"/>
        <v>4.82758620689655</v>
      </c>
      <c r="T37" s="95" t="s">
        <v>82</v>
      </c>
      <c r="U37" s="96"/>
      <c r="V37" s="96"/>
      <c r="W37" s="96"/>
      <c r="X37" s="96"/>
      <c r="Y37" s="96"/>
      <c r="Z37" s="96"/>
      <c r="AA37" s="97"/>
      <c r="AB37" s="97"/>
      <c r="AC37" s="97"/>
      <c r="AD37" s="97"/>
      <c r="AE37" s="5"/>
      <c r="AF37" s="106"/>
      <c r="AG37" s="107"/>
      <c r="AH37" s="107"/>
      <c r="AI37" s="4"/>
    </row>
    <row r="38" s="1" customFormat="1" ht="12.75" customHeight="1" spans="2:35">
      <c r="B38" s="2"/>
      <c r="J38" s="5"/>
      <c r="K38" s="5"/>
      <c r="L38" s="5"/>
      <c r="M38" s="5"/>
      <c r="N38" s="5"/>
      <c r="O38" s="91"/>
      <c r="P38" s="92"/>
      <c r="Q38" s="93"/>
      <c r="R38" s="94"/>
      <c r="S38" s="94"/>
      <c r="T38" s="95"/>
      <c r="U38" s="96"/>
      <c r="V38" s="96"/>
      <c r="W38" s="97"/>
      <c r="X38" s="97"/>
      <c r="Y38" s="97"/>
      <c r="Z38" s="97"/>
      <c r="AA38" s="97"/>
      <c r="AB38" s="97"/>
      <c r="AC38" s="97"/>
      <c r="AD38" s="97"/>
      <c r="AE38" s="5"/>
      <c r="AF38" s="106"/>
      <c r="AG38" s="107"/>
      <c r="AH38" s="107"/>
      <c r="AI38" s="4"/>
    </row>
    <row r="39" s="1" customFormat="1" ht="12.75" customHeight="1" spans="2:35">
      <c r="B39" s="2"/>
      <c r="J39" s="5"/>
      <c r="K39" s="5"/>
      <c r="L39" s="5"/>
      <c r="M39" s="5"/>
      <c r="N39" s="5"/>
      <c r="O39" s="102">
        <v>12</v>
      </c>
      <c r="P39" s="92">
        <v>35</v>
      </c>
      <c r="Q39" s="93">
        <v>75</v>
      </c>
      <c r="R39" s="94">
        <f t="shared" si="4"/>
        <v>2.91666666666667</v>
      </c>
      <c r="S39" s="94">
        <f t="shared" si="5"/>
        <v>6.25</v>
      </c>
      <c r="T39" s="95" t="s">
        <v>84</v>
      </c>
      <c r="U39" s="96"/>
      <c r="V39" s="96"/>
      <c r="W39" s="97" t="s">
        <v>85</v>
      </c>
      <c r="X39" s="97"/>
      <c r="Y39" s="97"/>
      <c r="Z39" s="97"/>
      <c r="AA39" s="97"/>
      <c r="AB39" s="97"/>
      <c r="AC39" s="97"/>
      <c r="AD39" s="97"/>
      <c r="AE39" s="5"/>
      <c r="AF39" s="108"/>
      <c r="AG39" s="109"/>
      <c r="AH39" s="109"/>
      <c r="AI39" s="4"/>
    </row>
    <row r="40" s="1" customFormat="1" ht="12.75" customHeight="1" spans="2:35">
      <c r="B40" s="2"/>
      <c r="J40" s="5"/>
      <c r="K40" s="5"/>
      <c r="L40" s="5"/>
      <c r="M40" s="5"/>
      <c r="N40" s="5"/>
      <c r="O40" s="91">
        <v>40.5</v>
      </c>
      <c r="P40" s="92">
        <v>85</v>
      </c>
      <c r="Q40" s="93">
        <v>200</v>
      </c>
      <c r="R40" s="94">
        <f t="shared" si="4"/>
        <v>2.09876543209877</v>
      </c>
      <c r="S40" s="94">
        <f t="shared" si="5"/>
        <v>4.93827160493827</v>
      </c>
      <c r="T40" s="95" t="s">
        <v>84</v>
      </c>
      <c r="U40" s="96"/>
      <c r="V40" s="96"/>
      <c r="W40" s="97"/>
      <c r="X40" s="97"/>
      <c r="Y40" s="97"/>
      <c r="Z40" s="97"/>
      <c r="AA40" s="97"/>
      <c r="AB40" s="97"/>
      <c r="AC40" s="97"/>
      <c r="AD40" s="97"/>
      <c r="AE40" s="5"/>
      <c r="AF40" s="110"/>
      <c r="AG40" s="109"/>
      <c r="AH40" s="109"/>
      <c r="AI40" s="4"/>
    </row>
    <row r="41" s="1" customFormat="1" ht="12.75" customHeight="1" spans="2:35">
      <c r="B41" s="2"/>
      <c r="J41" s="5"/>
      <c r="K41" s="5"/>
      <c r="L41" s="5"/>
      <c r="M41" s="5"/>
      <c r="N41" s="5"/>
      <c r="O41" s="91">
        <v>72.5</v>
      </c>
      <c r="P41" s="92">
        <v>140</v>
      </c>
      <c r="Q41" s="111" t="s">
        <v>86</v>
      </c>
      <c r="R41" s="94">
        <f t="shared" si="4"/>
        <v>1.93103448275862</v>
      </c>
      <c r="S41" s="112" t="e">
        <f t="shared" si="5"/>
        <v>#VALUE!</v>
      </c>
      <c r="T41" s="95" t="s">
        <v>84</v>
      </c>
      <c r="U41" s="96"/>
      <c r="V41" s="96"/>
      <c r="W41" s="97" t="s">
        <v>87</v>
      </c>
      <c r="X41" s="97"/>
      <c r="Y41" s="97"/>
      <c r="Z41" s="97"/>
      <c r="AA41" s="97"/>
      <c r="AB41" s="97"/>
      <c r="AC41" s="97"/>
      <c r="AD41" s="97"/>
      <c r="AE41" s="5"/>
      <c r="AF41" s="113"/>
      <c r="AG41" s="109"/>
      <c r="AH41" s="109"/>
      <c r="AI41" s="4"/>
    </row>
    <row r="42" s="1" customFormat="1" spans="2:35">
      <c r="B42" s="2"/>
      <c r="J42" s="5"/>
      <c r="K42" s="5"/>
      <c r="L42" s="5"/>
      <c r="M42" s="5"/>
      <c r="N42" s="5"/>
      <c r="O42" s="102">
        <v>126</v>
      </c>
      <c r="P42" s="92">
        <v>230</v>
      </c>
      <c r="Q42" s="93">
        <v>550</v>
      </c>
      <c r="R42" s="94">
        <f t="shared" si="4"/>
        <v>1.82539682539683</v>
      </c>
      <c r="S42" s="94">
        <f t="shared" si="5"/>
        <v>4.36507936507936</v>
      </c>
      <c r="T42" s="95" t="s">
        <v>84</v>
      </c>
      <c r="U42" s="96"/>
      <c r="V42" s="96"/>
      <c r="W42" s="97" t="s">
        <v>87</v>
      </c>
      <c r="X42" s="97"/>
      <c r="Y42" s="97"/>
      <c r="Z42" s="97"/>
      <c r="AA42" s="97"/>
      <c r="AB42" s="97"/>
      <c r="AC42" s="97"/>
      <c r="AD42" s="97"/>
      <c r="AE42" s="5"/>
      <c r="AF42" s="114"/>
      <c r="AG42" s="115"/>
      <c r="AH42" s="109"/>
    </row>
    <row r="43" s="1" customFormat="1" spans="2:35">
      <c r="B43" s="2"/>
      <c r="J43" s="5"/>
      <c r="K43" s="5"/>
      <c r="L43" s="5"/>
      <c r="M43" s="5"/>
      <c r="N43" s="5"/>
      <c r="O43" s="102">
        <v>170</v>
      </c>
      <c r="P43" s="92">
        <v>325</v>
      </c>
      <c r="Q43" s="93">
        <v>750</v>
      </c>
      <c r="R43" s="94">
        <f t="shared" si="4"/>
        <v>1.91176470588235</v>
      </c>
      <c r="S43" s="94">
        <f t="shared" si="5"/>
        <v>4.41176470588235</v>
      </c>
      <c r="T43" s="95"/>
      <c r="U43" s="96"/>
      <c r="V43" s="96"/>
      <c r="W43" s="97" t="s">
        <v>87</v>
      </c>
      <c r="X43" s="97"/>
      <c r="Y43" s="97"/>
      <c r="Z43" s="97"/>
      <c r="AA43" s="97"/>
      <c r="AB43" s="97"/>
      <c r="AC43" s="97"/>
      <c r="AD43" s="97"/>
      <c r="AE43" s="5"/>
      <c r="AF43" s="113"/>
      <c r="AG43" s="115"/>
      <c r="AH43" s="109"/>
    </row>
    <row r="44" s="1" customFormat="1" spans="2:35">
      <c r="B44" s="2"/>
      <c r="J44" s="5"/>
      <c r="K44" s="5"/>
      <c r="L44" s="5"/>
      <c r="M44" s="5"/>
      <c r="N44" s="5"/>
      <c r="O44" s="116"/>
      <c r="P44" s="117"/>
      <c r="Q44" s="118"/>
      <c r="R44" s="94"/>
      <c r="S44" s="94"/>
      <c r="T44" s="95"/>
      <c r="U44" s="96"/>
      <c r="V44" s="96"/>
      <c r="W44" s="97"/>
      <c r="X44" s="97"/>
      <c r="Y44" s="97"/>
      <c r="Z44" s="97"/>
      <c r="AA44" s="97"/>
      <c r="AB44" s="97"/>
      <c r="AC44" s="97"/>
      <c r="AD44" s="97"/>
      <c r="AE44" s="5"/>
      <c r="AF44" s="113"/>
      <c r="AG44" s="115"/>
      <c r="AH44" s="109"/>
    </row>
    <row r="45" s="1" customFormat="1" ht="12.75" spans="2:35">
      <c r="B45" s="2"/>
      <c r="J45" s="5"/>
      <c r="K45" s="5"/>
      <c r="L45" s="5"/>
      <c r="M45" s="5"/>
      <c r="N45" s="5"/>
      <c r="O45" s="119">
        <v>252</v>
      </c>
      <c r="P45" s="120">
        <v>460</v>
      </c>
      <c r="Q45" s="121">
        <v>1050</v>
      </c>
      <c r="R45" s="94">
        <f>P45/O45</f>
        <v>1.82539682539683</v>
      </c>
      <c r="S45" s="94">
        <f>Q45/O45</f>
        <v>4.16666666666667</v>
      </c>
      <c r="T45" s="95" t="s">
        <v>84</v>
      </c>
      <c r="U45" s="96"/>
      <c r="V45" s="96"/>
      <c r="W45" s="97" t="s">
        <v>87</v>
      </c>
      <c r="X45" s="97"/>
      <c r="Y45" s="97"/>
      <c r="Z45" s="97"/>
      <c r="AA45" s="97"/>
      <c r="AB45" s="97"/>
      <c r="AC45" s="97"/>
      <c r="AD45" s="97"/>
      <c r="AF45" s="113"/>
      <c r="AG45" s="115"/>
      <c r="AH45" s="109"/>
    </row>
    <row r="46" s="1" customFormat="1" spans="2:35">
      <c r="B46" s="2"/>
      <c r="J46" s="5"/>
      <c r="K46" s="5"/>
      <c r="L46" s="5"/>
      <c r="M46" s="5"/>
      <c r="N46" s="5"/>
      <c r="O46" s="6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F46" s="122"/>
      <c r="AG46" s="123"/>
      <c r="AH46" s="107"/>
    </row>
    <row r="47" s="1" customFormat="1" spans="2:35">
      <c r="B47" s="2"/>
      <c r="J47" s="5"/>
      <c r="K47" s="5"/>
      <c r="L47" s="5"/>
      <c r="M47" s="5"/>
      <c r="N47" s="5"/>
      <c r="O47" s="6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F47" s="124"/>
      <c r="AG47" s="4"/>
    </row>
    <row r="48" s="1" customFormat="1" spans="2:35">
      <c r="B48" s="2"/>
      <c r="J48" s="5"/>
      <c r="K48" s="5"/>
      <c r="L48" s="5"/>
      <c r="M48" s="5"/>
      <c r="N48" s="5"/>
      <c r="O48" s="6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F48" s="124"/>
      <c r="AG48" s="4"/>
    </row>
    <row r="49" s="1" customFormat="1" spans="1:38">
      <c r="B49" s="2"/>
      <c r="J49" s="5"/>
      <c r="K49" s="5"/>
      <c r="L49" s="5"/>
      <c r="M49" s="5"/>
      <c r="N49" s="5"/>
      <c r="O49" s="6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F49" s="124"/>
      <c r="AG49" s="4"/>
    </row>
    <row r="50" s="1" customFormat="1" spans="1:38">
      <c r="B50" s="2"/>
      <c r="J50" s="5"/>
      <c r="K50" s="5"/>
      <c r="L50" s="5"/>
      <c r="M50" s="5"/>
      <c r="N50" s="5"/>
      <c r="O50" s="6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G50" s="4"/>
    </row>
    <row r="51" s="1" customFormat="1" spans="1:38">
      <c r="B51" s="2"/>
      <c r="J51" s="5"/>
      <c r="K51" s="5"/>
      <c r="L51" s="5"/>
      <c r="M51" s="5"/>
      <c r="N51" s="5"/>
      <c r="O51" s="6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G51" s="4"/>
    </row>
    <row r="52" s="1" customFormat="1" spans="1:38">
      <c r="B52" s="2"/>
      <c r="J52" s="5"/>
      <c r="K52" s="5"/>
      <c r="L52" s="5"/>
      <c r="M52" s="5"/>
      <c r="N52" s="5"/>
      <c r="O52" s="6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G52" s="4"/>
    </row>
    <row r="53" s="1" customFormat="1" spans="1:38">
      <c r="B53" s="2"/>
      <c r="J53" s="5"/>
      <c r="K53" s="5"/>
      <c r="L53" s="5"/>
      <c r="M53" s="5"/>
      <c r="N53" s="5"/>
      <c r="O53" s="6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G53" s="4"/>
    </row>
    <row r="54" s="1" customFormat="1" spans="1:38">
      <c r="B54" s="2"/>
      <c r="J54" s="5"/>
      <c r="K54" s="5"/>
      <c r="L54" s="5"/>
      <c r="M54" s="125"/>
      <c r="N54" s="5"/>
      <c r="O54" s="6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G54" s="4"/>
    </row>
    <row r="55" s="4" customFormat="1" spans="1:38">
      <c r="A55" s="1"/>
      <c r="B55" s="2"/>
      <c r="C55" s="1"/>
      <c r="D55" s="1"/>
      <c r="E55" s="1"/>
      <c r="F55" s="1"/>
      <c r="G55" s="1"/>
      <c r="H55" s="1"/>
      <c r="I55" s="1"/>
      <c r="J55" s="5"/>
      <c r="K55" s="5"/>
      <c r="L55" s="5"/>
      <c r="M55" s="125"/>
      <c r="N55" s="5"/>
      <c r="O55" s="6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1"/>
      <c r="AE55" s="1"/>
      <c r="AF55" s="1"/>
      <c r="AH55" s="1"/>
      <c r="AI55" s="1"/>
      <c r="AJ55" s="1"/>
      <c r="AK55" s="1"/>
      <c r="AL55" s="1"/>
    </row>
    <row r="56" s="4" customFormat="1" spans="1:38">
      <c r="A56" s="1"/>
      <c r="B56" s="2"/>
      <c r="C56" s="1"/>
      <c r="D56" s="1"/>
      <c r="E56" s="1"/>
      <c r="F56" s="1"/>
      <c r="G56" s="1"/>
      <c r="H56" s="1"/>
      <c r="I56" s="1"/>
      <c r="J56" s="5"/>
      <c r="K56" s="5"/>
      <c r="L56" s="5"/>
      <c r="M56" s="125"/>
      <c r="N56" s="5"/>
      <c r="O56" s="6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1"/>
      <c r="AE56" s="1"/>
    </row>
    <row r="57" s="4" customFormat="1" spans="1:38">
      <c r="A57" s="1"/>
      <c r="B57" s="2"/>
      <c r="C57" s="1"/>
      <c r="D57" s="1"/>
      <c r="E57" s="1"/>
      <c r="F57" s="1"/>
      <c r="G57" s="1"/>
      <c r="H57" s="1"/>
      <c r="I57" s="1"/>
      <c r="J57" s="5"/>
      <c r="K57" s="5"/>
      <c r="L57" s="5"/>
      <c r="M57" s="125"/>
      <c r="N57" s="5"/>
      <c r="O57" s="6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1"/>
      <c r="AE57" s="1"/>
    </row>
    <row r="58" s="4" customFormat="1" spans="1:38">
      <c r="A58" s="1"/>
      <c r="B58" s="2"/>
      <c r="C58" s="1"/>
      <c r="D58" s="1"/>
      <c r="E58" s="1"/>
      <c r="F58" s="1"/>
      <c r="G58" s="1"/>
      <c r="H58" s="1"/>
      <c r="I58" s="1"/>
      <c r="J58" s="5"/>
      <c r="K58" s="5"/>
      <c r="L58" s="5"/>
      <c r="M58" s="125"/>
      <c r="N58" s="5"/>
      <c r="O58" s="6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1"/>
    </row>
    <row r="59" s="4" customFormat="1" spans="1:38">
      <c r="A59" s="1"/>
      <c r="B59" s="2"/>
      <c r="C59" s="1"/>
      <c r="D59" s="1"/>
      <c r="E59" s="1"/>
      <c r="F59" s="1"/>
      <c r="G59" s="1"/>
      <c r="H59" s="1"/>
      <c r="I59" s="1"/>
      <c r="J59" s="5"/>
      <c r="K59" s="5"/>
      <c r="L59" s="5"/>
      <c r="M59" s="125"/>
      <c r="N59" s="125"/>
      <c r="O59" s="126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</row>
    <row r="60" s="1" customFormat="1" spans="1:38">
      <c r="B60" s="2"/>
      <c r="C60" s="1"/>
      <c r="D60" s="1"/>
      <c r="E60" s="1"/>
      <c r="F60" s="1"/>
      <c r="G60" s="1"/>
      <c r="H60" s="1"/>
      <c r="I60" s="1"/>
      <c r="J60" s="5"/>
      <c r="K60" s="5"/>
      <c r="L60" s="5"/>
      <c r="M60" s="125"/>
      <c r="N60" s="125"/>
      <c r="O60" s="126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4"/>
      <c r="AE60" s="4"/>
      <c r="AF60" s="4"/>
      <c r="AG60" s="4"/>
      <c r="AH60" s="4"/>
      <c r="AI60" s="4"/>
      <c r="AJ60" s="4"/>
      <c r="AK60" s="4"/>
      <c r="AL60" s="4"/>
    </row>
    <row r="61" s="1" customFormat="1" spans="1:38">
      <c r="B61" s="2"/>
      <c r="C61" s="1"/>
      <c r="D61" s="1"/>
      <c r="E61" s="1"/>
      <c r="F61" s="1"/>
      <c r="G61" s="1"/>
      <c r="H61" s="1"/>
      <c r="I61" s="1"/>
      <c r="J61" s="5"/>
      <c r="K61" s="5"/>
      <c r="L61" s="5"/>
      <c r="M61" s="125"/>
      <c r="N61" s="125"/>
      <c r="O61" s="126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4"/>
      <c r="AE61" s="4"/>
      <c r="AF61" s="4"/>
      <c r="AG61" s="4"/>
      <c r="AH61" s="4"/>
      <c r="AI61" s="4"/>
      <c r="AJ61" s="4"/>
      <c r="AK61" s="4"/>
      <c r="AL61" s="4"/>
    </row>
    <row r="62" s="1" customFormat="1" spans="1:38">
      <c r="B62" s="2"/>
      <c r="J62" s="5"/>
      <c r="K62" s="5"/>
      <c r="L62" s="5"/>
      <c r="M62" s="125"/>
      <c r="N62" s="125"/>
      <c r="O62" s="126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4"/>
      <c r="AE62" s="4"/>
      <c r="AF62" s="4"/>
      <c r="AG62" s="4"/>
      <c r="AH62" s="4"/>
      <c r="AI62" s="4"/>
      <c r="AJ62" s="4"/>
      <c r="AK62" s="4"/>
      <c r="AL62" s="4"/>
    </row>
    <row r="63" s="1" customFormat="1" spans="1:38">
      <c r="B63" s="2"/>
      <c r="J63" s="5"/>
      <c r="K63" s="5"/>
      <c r="L63" s="5"/>
      <c r="M63" s="125"/>
      <c r="N63" s="125"/>
      <c r="O63" s="126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4"/>
      <c r="AE63" s="4"/>
      <c r="AF63" s="4"/>
      <c r="AG63" s="4"/>
      <c r="AH63" s="4"/>
      <c r="AI63" s="4"/>
      <c r="AJ63" s="4"/>
      <c r="AK63" s="4"/>
      <c r="AL63" s="4"/>
    </row>
    <row r="64" s="1" customFormat="1" spans="1:38">
      <c r="B64" s="2"/>
      <c r="J64" s="5"/>
      <c r="K64" s="5"/>
      <c r="L64" s="5"/>
      <c r="M64" s="125"/>
      <c r="N64" s="125"/>
      <c r="O64" s="126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4"/>
      <c r="AE64" s="4"/>
      <c r="AG64" s="4"/>
    </row>
    <row r="65" s="1" customFormat="1" spans="2:33">
      <c r="B65" s="2"/>
      <c r="J65" s="5"/>
      <c r="K65" s="5"/>
      <c r="L65" s="5"/>
      <c r="M65" s="125"/>
      <c r="N65" s="125"/>
      <c r="O65" s="126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4"/>
      <c r="AE65" s="4"/>
      <c r="AG65" s="4"/>
    </row>
    <row r="66" s="1" customFormat="1" spans="2:33">
      <c r="B66" s="2"/>
      <c r="J66" s="5"/>
      <c r="K66" s="5"/>
      <c r="L66" s="5"/>
      <c r="M66" s="125"/>
      <c r="N66" s="125"/>
      <c r="O66" s="126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4"/>
      <c r="AG66" s="4"/>
    </row>
    <row r="67" s="1" customFormat="1" spans="2:33">
      <c r="B67" s="2"/>
      <c r="J67" s="5"/>
      <c r="K67" s="5"/>
      <c r="L67" s="5"/>
      <c r="M67" s="125"/>
      <c r="N67" s="125"/>
      <c r="O67" s="126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G67" s="4"/>
    </row>
    <row r="68" s="1" customFormat="1" spans="2:33">
      <c r="B68" s="2"/>
      <c r="J68" s="5"/>
      <c r="K68" s="5"/>
      <c r="L68" s="5"/>
      <c r="M68" s="125"/>
      <c r="N68" s="125"/>
      <c r="O68" s="126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G68" s="4"/>
    </row>
    <row r="69" s="1" customFormat="1" spans="2:33">
      <c r="B69" s="2"/>
      <c r="J69" s="5"/>
      <c r="K69" s="5"/>
      <c r="L69" s="5"/>
      <c r="M69" s="125"/>
      <c r="N69" s="125"/>
      <c r="O69" s="126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G69" s="4"/>
    </row>
    <row r="70" s="1" customFormat="1" spans="2:33">
      <c r="B70" s="2"/>
      <c r="J70" s="5"/>
      <c r="K70" s="5"/>
      <c r="L70" s="5"/>
      <c r="M70" s="125"/>
      <c r="N70" s="125"/>
      <c r="O70" s="126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G70" s="4"/>
    </row>
    <row r="71" s="1" customFormat="1" spans="2:33">
      <c r="B71" s="2"/>
      <c r="J71" s="5"/>
      <c r="K71" s="5"/>
      <c r="L71" s="5"/>
      <c r="M71" s="125"/>
      <c r="N71" s="5"/>
      <c r="O71" s="6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G71" s="4"/>
    </row>
    <row r="72" s="1" customFormat="1" spans="2:33">
      <c r="B72" s="2"/>
      <c r="J72" s="5"/>
      <c r="K72" s="5"/>
      <c r="L72" s="5"/>
      <c r="M72" s="125"/>
      <c r="N72" s="5"/>
      <c r="O72" s="6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G72" s="4"/>
    </row>
    <row r="73" s="1" customFormat="1" spans="2:33">
      <c r="B73" s="2"/>
      <c r="J73" s="5"/>
      <c r="K73" s="5"/>
      <c r="L73" s="5"/>
      <c r="M73" s="125"/>
      <c r="N73" s="5"/>
      <c r="O73" s="6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G73" s="4"/>
    </row>
    <row r="74" s="1" customFormat="1" spans="2:33">
      <c r="B74" s="2"/>
      <c r="J74" s="5"/>
      <c r="K74" s="5"/>
      <c r="L74" s="5"/>
      <c r="M74" s="125"/>
      <c r="N74" s="5"/>
      <c r="O74" s="6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G74" s="4"/>
    </row>
    <row r="75" s="1" customFormat="1" spans="2:33">
      <c r="B75" s="2"/>
      <c r="J75" s="5"/>
      <c r="K75" s="5"/>
      <c r="L75" s="5"/>
      <c r="M75" s="125"/>
      <c r="N75" s="5"/>
      <c r="O75" s="6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G75" s="4"/>
    </row>
    <row r="76" s="1" customFormat="1" spans="2:33">
      <c r="B76" s="2"/>
      <c r="J76" s="5"/>
      <c r="K76" s="5"/>
      <c r="L76" s="5"/>
      <c r="M76" s="125"/>
      <c r="N76" s="5"/>
      <c r="O76" s="6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G76" s="4"/>
    </row>
    <row r="78" s="1" customFormat="1" spans="2:33">
      <c r="B78" s="2"/>
      <c r="C78" s="1"/>
      <c r="D78" s="1"/>
      <c r="E78" s="1"/>
      <c r="F78" s="1"/>
      <c r="G78" s="1"/>
      <c r="H78" s="1"/>
      <c r="I78" s="1"/>
      <c r="J78" s="5"/>
      <c r="K78" s="5"/>
      <c r="L78" s="5"/>
      <c r="M78" s="5"/>
      <c r="N78" s="5"/>
      <c r="O78" s="6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G78" s="4"/>
    </row>
    <row r="79" s="1" customFormat="1" spans="2:33">
      <c r="B79" s="2"/>
      <c r="C79" s="1"/>
      <c r="D79" s="1"/>
      <c r="E79" s="1"/>
      <c r="F79" s="1"/>
      <c r="G79" s="1"/>
      <c r="H79" s="1"/>
      <c r="I79" s="1"/>
      <c r="J79" s="5"/>
      <c r="K79" s="5"/>
      <c r="L79" s="5"/>
      <c r="M79" s="5"/>
      <c r="N79" s="5"/>
      <c r="O79" s="6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G79" s="4"/>
    </row>
    <row r="80" s="1" customFormat="1" spans="2:33">
      <c r="B80" s="2"/>
      <c r="J80" s="5"/>
      <c r="K80" s="5"/>
      <c r="L80" s="5"/>
      <c r="M80" s="5"/>
      <c r="N80" s="5"/>
      <c r="O80" s="6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G80" s="4"/>
    </row>
    <row r="81" s="1" customFormat="1" spans="2:33">
      <c r="B81" s="2"/>
      <c r="J81" s="5"/>
      <c r="K81" s="5"/>
      <c r="L81" s="5"/>
      <c r="M81" s="5"/>
      <c r="N81" s="5"/>
      <c r="O81" s="6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G81" s="4"/>
    </row>
    <row r="82" s="1" customFormat="1" spans="2:33">
      <c r="B82" s="2"/>
      <c r="J82" s="5"/>
      <c r="K82" s="5"/>
      <c r="L82" s="5"/>
      <c r="M82" s="5"/>
      <c r="N82" s="5"/>
      <c r="O82" s="6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G82" s="4"/>
    </row>
    <row r="83" s="1" customFormat="1" ht="14.5" spans="2:33">
      <c r="B83" s="2"/>
      <c r="J83" s="5"/>
      <c r="K83" s="5"/>
      <c r="L83" s="5"/>
      <c r="M83" s="5"/>
      <c r="N83" s="5"/>
      <c r="O83" s="127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G83" s="4"/>
    </row>
    <row r="84" s="1" customFormat="1" ht="14.5" spans="2:33">
      <c r="B84" s="2"/>
      <c r="J84" s="5"/>
      <c r="K84" s="5"/>
      <c r="L84" s="5"/>
      <c r="M84" s="128"/>
      <c r="N84" s="5"/>
      <c r="O84" s="129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G84" s="4"/>
    </row>
    <row r="85" s="1" customFormat="1" ht="14.5" spans="2:33">
      <c r="B85" s="2"/>
      <c r="J85" s="5"/>
      <c r="K85" s="5"/>
      <c r="L85" s="5"/>
      <c r="M85" s="5"/>
      <c r="N85" s="128"/>
      <c r="O85" s="128"/>
      <c r="P85" s="128"/>
      <c r="Q85" s="128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G85" s="4"/>
    </row>
    <row r="86" s="1" customFormat="1" ht="14.5" spans="2:33">
      <c r="B86" s="2"/>
      <c r="J86" s="5"/>
      <c r="K86" s="5"/>
      <c r="L86" s="5"/>
      <c r="M86" s="5"/>
      <c r="N86" s="128"/>
      <c r="O86" s="128"/>
      <c r="P86" s="128"/>
      <c r="Q86" s="128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G86" s="4"/>
    </row>
    <row r="87" s="1" customFormat="1" ht="16" spans="2:33">
      <c r="B87" s="2"/>
      <c r="J87" s="5"/>
      <c r="K87" s="5"/>
      <c r="L87" s="5"/>
      <c r="M87" s="5"/>
      <c r="N87" s="5"/>
      <c r="O87" s="130"/>
      <c r="P87" s="130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G87" s="4"/>
    </row>
    <row r="88" s="1" customFormat="1" ht="16" spans="2:33">
      <c r="B88" s="2"/>
      <c r="J88" s="5"/>
      <c r="K88" s="5"/>
      <c r="L88" s="5"/>
      <c r="M88" s="5"/>
      <c r="N88" s="5"/>
      <c r="O88" s="131"/>
      <c r="P88" s="131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G88" s="4"/>
    </row>
    <row r="89" s="1" customFormat="1" ht="16" spans="2:33">
      <c r="B89" s="2"/>
      <c r="J89" s="5"/>
      <c r="K89" s="5"/>
      <c r="L89" s="5"/>
      <c r="M89" s="5"/>
      <c r="N89" s="5"/>
      <c r="O89" s="131"/>
      <c r="P89" s="131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G89" s="4"/>
    </row>
    <row r="90" s="1" customFormat="1" ht="14" spans="2:33">
      <c r="B90" s="2"/>
      <c r="J90" s="5"/>
      <c r="K90" s="5"/>
      <c r="L90" s="5"/>
      <c r="M90" s="5"/>
      <c r="N90" s="5"/>
      <c r="O90" s="132"/>
      <c r="P90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G90" s="4"/>
    </row>
    <row r="91" s="1" customFormat="1" spans="2:33">
      <c r="B91" s="2"/>
      <c r="J91" s="5"/>
      <c r="K91" s="5"/>
      <c r="L91" s="5"/>
      <c r="M91" s="5"/>
      <c r="N91" s="5"/>
      <c r="O91" s="6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G91" s="4"/>
    </row>
    <row r="92" s="1" customFormat="1" spans="2:33">
      <c r="B92" s="2"/>
      <c r="J92" s="5"/>
      <c r="K92" s="5"/>
      <c r="L92" s="5"/>
      <c r="M92" s="5"/>
      <c r="N92" s="5"/>
      <c r="O92" s="6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G92" s="4"/>
    </row>
    <row r="95" s="1" customFormat="1" spans="2:33">
      <c r="B95" s="2"/>
      <c r="C95" s="1"/>
      <c r="D95" s="1"/>
      <c r="E95" s="1"/>
      <c r="F95" s="1"/>
      <c r="G95" s="1"/>
      <c r="H95" s="1"/>
      <c r="I95" s="1"/>
      <c r="J95" s="5"/>
      <c r="K95" s="5"/>
      <c r="L95" s="5"/>
      <c r="M95" s="5"/>
      <c r="N95" s="5"/>
      <c r="O95" s="6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G95" s="4"/>
    </row>
    <row r="96" s="1" customFormat="1" spans="2:33">
      <c r="B96" s="2"/>
      <c r="C96" s="1"/>
      <c r="D96" s="1"/>
      <c r="E96" s="1"/>
      <c r="F96" s="1"/>
      <c r="G96" s="1"/>
      <c r="H96" s="1"/>
      <c r="I96" s="1"/>
      <c r="J96" s="5"/>
      <c r="K96" s="5"/>
      <c r="L96" s="5"/>
      <c r="M96" s="5"/>
      <c r="N96" s="5"/>
      <c r="O96" s="6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G96" s="4"/>
    </row>
    <row r="97" s="1" customFormat="1" spans="2:33">
      <c r="B97" s="2"/>
      <c r="J97" s="5"/>
      <c r="K97" s="5"/>
      <c r="L97" s="5"/>
      <c r="M97" s="5"/>
      <c r="N97" s="5"/>
      <c r="O97" s="6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G97" s="4"/>
    </row>
    <row r="98" s="1" customFormat="1" spans="2:33">
      <c r="B98" s="2"/>
      <c r="J98" s="5"/>
      <c r="K98" s="5"/>
      <c r="L98" s="5"/>
      <c r="M98" s="5"/>
      <c r="N98" s="5"/>
      <c r="O98" s="6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G98" s="4"/>
    </row>
    <row r="99" s="1" customFormat="1" spans="2:33">
      <c r="B99" s="2"/>
      <c r="J99" s="5"/>
      <c r="K99" s="5"/>
      <c r="L99" s="5"/>
      <c r="M99" s="5"/>
      <c r="N99" s="5"/>
      <c r="O99" s="6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G99" s="4"/>
    </row>
  </sheetData>
  <mergeCells count="18">
    <mergeCell ref="K4:L4"/>
    <mergeCell ref="O4:P4"/>
    <mergeCell ref="R4:AB4"/>
    <mergeCell ref="AI4:AJ4"/>
    <mergeCell ref="R5:AB5"/>
    <mergeCell ref="AI6:AJ6"/>
    <mergeCell ref="AI7:AJ7"/>
    <mergeCell ref="T20:X20"/>
    <mergeCell ref="Y20:AD20"/>
    <mergeCell ref="O8:O11"/>
    <mergeCell ref="O12:O13"/>
    <mergeCell ref="O14:O15"/>
    <mergeCell ref="O16:O17"/>
    <mergeCell ref="P8:P9"/>
    <mergeCell ref="P10:P11"/>
    <mergeCell ref="P12:P13"/>
    <mergeCell ref="P14:P15"/>
    <mergeCell ref="P16:P17"/>
  </mergeCells>
  <pageMargins left="0.7" right="0.7" top="0.75" bottom="0.75" header="0.3" footer="0.3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刘腾飞</cp:lastModifiedBy>
  <dcterms:created xsi:type="dcterms:W3CDTF">2023-05-12T11:15:00Z</dcterms:created>
  <dcterms:modified xsi:type="dcterms:W3CDTF">2026-06-11T02:44:12Z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D9AD59A591F048CCA345BCE0D61EEC41_13</vt:lpwstr>
  </property>
  <property fmtid="{D5CDD505-2E9C-101B-9397-08002B2CF9AE}" pid="4" name="CalculationRule">
    <vt:i4>0</vt:i4>
  </property>
</Properties>
</file>